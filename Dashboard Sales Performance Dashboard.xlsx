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hidePivotFieldList="1"/>
  <mc:AlternateContent xmlns:mc="http://schemas.openxmlformats.org/markup-compatibility/2006">
    <mc:Choice Requires="x15">
      <x15ac:absPath xmlns:x15ac="http://schemas.microsoft.com/office/spreadsheetml/2010/11/ac" url="C:\Users\muskan\Desktop\Muskan\Advanced Excel\"/>
    </mc:Choice>
  </mc:AlternateContent>
  <xr:revisionPtr revIDLastSave="0" documentId="13_ncr:1_{6B31CB42-7F18-4A14-A9A2-053C517B8B5A}" xr6:coauthVersionLast="47" xr6:coauthVersionMax="47" xr10:uidLastSave="{00000000-0000-0000-0000-000000000000}"/>
  <bookViews>
    <workbookView xWindow="-120" yWindow="-120" windowWidth="20730" windowHeight="11160" xr2:uid="{00000000-000D-0000-FFFF-FFFF00000000}"/>
  </bookViews>
  <sheets>
    <sheet name="DASHBOARD" sheetId="2" r:id="rId1"/>
    <sheet name="Analysis" sheetId="4" r:id="rId2"/>
    <sheet name="DATA " sheetId="1" r:id="rId3"/>
  </sheets>
  <definedNames>
    <definedName name="_xlchart.v5.0" hidden="1">Analysis!$C$43</definedName>
    <definedName name="_xlchart.v5.1" hidden="1">Analysis!$C$44:$C$50</definedName>
    <definedName name="_xlchart.v5.2" hidden="1">Analysis!$D$43</definedName>
    <definedName name="_xlchart.v5.3" hidden="1">Analysis!$D$44:$D$50</definedName>
    <definedName name="Slicer_Category">#N/A</definedName>
    <definedName name="Slicer_Seller">#N/A</definedName>
    <definedName name="Slicer_State">#N/A</definedName>
  </definedNames>
  <calcPr calcId="191029"/>
  <pivotCaches>
    <pivotCache cacheId="2"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2" i="2" l="1"/>
  <c r="F3" i="4"/>
  <c r="F4" i="4"/>
  <c r="D44" i="4" l="1"/>
  <c r="D45" i="4"/>
  <c r="D46" i="4"/>
  <c r="D47" i="4"/>
  <c r="D48" i="4"/>
  <c r="D49" i="4"/>
  <c r="D50" i="4"/>
</calcChain>
</file>

<file path=xl/sharedStrings.xml><?xml version="1.0" encoding="utf-8"?>
<sst xmlns="http://schemas.openxmlformats.org/spreadsheetml/2006/main" count="1066" uniqueCount="68">
  <si>
    <t>Month</t>
  </si>
  <si>
    <t>Seller</t>
  </si>
  <si>
    <t>Category</t>
  </si>
  <si>
    <t>Product</t>
  </si>
  <si>
    <t>State</t>
  </si>
  <si>
    <t>Sales</t>
  </si>
  <si>
    <t>Profit</t>
  </si>
  <si>
    <t>May</t>
  </si>
  <si>
    <t>Dave</t>
  </si>
  <si>
    <t>Electronics</t>
  </si>
  <si>
    <t>Smartphone</t>
  </si>
  <si>
    <t>California</t>
  </si>
  <si>
    <t>Nov</t>
  </si>
  <si>
    <t>Frank</t>
  </si>
  <si>
    <t>Clothing</t>
  </si>
  <si>
    <t>Jeans</t>
  </si>
  <si>
    <t>Texas</t>
  </si>
  <si>
    <t>Jun</t>
  </si>
  <si>
    <t>Eve</t>
  </si>
  <si>
    <t>Sports &amp; Fitness</t>
  </si>
  <si>
    <t>Yoga Mat</t>
  </si>
  <si>
    <t>New York</t>
  </si>
  <si>
    <t>Dec</t>
  </si>
  <si>
    <t>Food &amp; Beverages</t>
  </si>
  <si>
    <t>Snacks</t>
  </si>
  <si>
    <t>Feb</t>
  </si>
  <si>
    <t>Jacket</t>
  </si>
  <si>
    <t>Florida</t>
  </si>
  <si>
    <t>Mar</t>
  </si>
  <si>
    <t>Bob</t>
  </si>
  <si>
    <t>Juice</t>
  </si>
  <si>
    <t>Carol</t>
  </si>
  <si>
    <t>Bicycle</t>
  </si>
  <si>
    <t>Illinois</t>
  </si>
  <si>
    <t>Home Appliances</t>
  </si>
  <si>
    <t>Microwave</t>
  </si>
  <si>
    <t>Jan</t>
  </si>
  <si>
    <t>Jul</t>
  </si>
  <si>
    <t>Alice</t>
  </si>
  <si>
    <t>Apr</t>
  </si>
  <si>
    <t>Aug</t>
  </si>
  <si>
    <t>Dumbbells</t>
  </si>
  <si>
    <t>T-Shirt</t>
  </si>
  <si>
    <t>Dishwasher</t>
  </si>
  <si>
    <t>Tea</t>
  </si>
  <si>
    <t>Sweater</t>
  </si>
  <si>
    <t>Headphones</t>
  </si>
  <si>
    <t>Pennsylvania</t>
  </si>
  <si>
    <t>Grace</t>
  </si>
  <si>
    <t>Refrigerator</t>
  </si>
  <si>
    <t>Camera</t>
  </si>
  <si>
    <t>Oct</t>
  </si>
  <si>
    <t>Treadmill</t>
  </si>
  <si>
    <t>Laptop</t>
  </si>
  <si>
    <t>Sep</t>
  </si>
  <si>
    <t>Coffee</t>
  </si>
  <si>
    <t>Toaster</t>
  </si>
  <si>
    <t>SALES PERFORMANCE DASHBOARD</t>
  </si>
  <si>
    <t>January December 2022</t>
  </si>
  <si>
    <t>Row Labels</t>
  </si>
  <si>
    <t>Grand Total</t>
  </si>
  <si>
    <t>Sum of Sales</t>
  </si>
  <si>
    <t>Sum of Profit</t>
  </si>
  <si>
    <t xml:space="preserve">Sales  </t>
  </si>
  <si>
    <t xml:space="preserve">Profit </t>
  </si>
  <si>
    <t>Sum of profit ratio</t>
  </si>
  <si>
    <t xml:space="preserve">Profit  </t>
  </si>
  <si>
    <t>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</si>
</sst>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1" formatCode="_ * #,##0_ ;_ * \-#,##0_ ;_ * &quot;-&quot;_ ;_ @_ "/>
    <numFmt numFmtId="164" formatCode="_-[$$-409]* #,##0_ ;_-[$$-409]* \-#,##0\ ;_-[$$-409]* &quot;-&quot;_ ;_-@_ "/>
  </numFmts>
  <fonts count="7" x14ac:knownFonts="1">
    <font>
      <sz val="11"/>
      <color theme="1"/>
      <name val="Calibri"/>
      <family val="2"/>
      <scheme val="minor"/>
    </font>
    <font>
      <b/>
      <sz val="11"/>
      <color theme="1"/>
      <name val="Calibri"/>
      <family val="2"/>
      <scheme val="minor"/>
    </font>
    <font>
      <sz val="22"/>
      <color theme="0"/>
      <name val="Calibri"/>
      <family val="2"/>
      <scheme val="minor"/>
    </font>
    <font>
      <sz val="14"/>
      <color theme="2"/>
      <name val="Calibri"/>
      <family val="2"/>
      <scheme val="minor"/>
    </font>
    <font>
      <sz val="11"/>
      <color theme="2"/>
      <name val="Calibri"/>
      <family val="2"/>
      <scheme val="minor"/>
    </font>
    <font>
      <sz val="22"/>
      <color rgb="FFE7954D"/>
      <name val="Calibri"/>
      <family val="2"/>
      <scheme val="minor"/>
    </font>
    <font>
      <b/>
      <sz val="12"/>
      <color rgb="FFE7954D"/>
      <name val="Calibri"/>
      <family val="2"/>
      <scheme val="minor"/>
    </font>
  </fonts>
  <fills count="3">
    <fill>
      <patternFill patternType="none"/>
    </fill>
    <fill>
      <patternFill patternType="gray125"/>
    </fill>
    <fill>
      <patternFill patternType="solid">
        <fgColor rgb="FF181824"/>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5">
    <xf numFmtId="0" fontId="0" fillId="0" borderId="0" xfId="0"/>
    <xf numFmtId="0" fontId="1" fillId="0" borderId="1" xfId="0" applyFont="1" applyBorder="1" applyAlignment="1">
      <alignment horizontal="left" vertical="top"/>
    </xf>
    <xf numFmtId="0" fontId="0" fillId="0" borderId="0" xfId="0" pivotButton="1"/>
    <xf numFmtId="0" fontId="0" fillId="0" borderId="0" xfId="0" applyAlignment="1">
      <alignment horizontal="left"/>
    </xf>
    <xf numFmtId="164" fontId="0" fillId="0" borderId="0" xfId="0" applyNumberFormat="1"/>
    <xf numFmtId="41" fontId="0" fillId="0" borderId="0" xfId="0" applyNumberFormat="1"/>
    <xf numFmtId="0" fontId="2" fillId="2" borderId="0" xfId="0" applyFont="1" applyFill="1" applyAlignment="1">
      <alignment horizontal="left" indent="2"/>
    </xf>
    <xf numFmtId="0" fontId="0" fillId="2" borderId="0" xfId="0" applyFill="1" applyAlignment="1">
      <alignment horizontal="left" indent="2"/>
    </xf>
    <xf numFmtId="0" fontId="0" fillId="2" borderId="0" xfId="0" applyFill="1"/>
    <xf numFmtId="17" fontId="3" fillId="2" borderId="0" xfId="0" applyNumberFormat="1" applyFont="1" applyFill="1" applyAlignment="1">
      <alignment horizontal="left" indent="2"/>
    </xf>
    <xf numFmtId="0" fontId="3" fillId="2" borderId="0" xfId="0" applyFont="1" applyFill="1" applyAlignment="1">
      <alignment horizontal="left" indent="2"/>
    </xf>
    <xf numFmtId="0" fontId="4" fillId="2" borderId="0" xfId="0" applyFont="1" applyFill="1" applyAlignment="1">
      <alignment horizontal="left" indent="2"/>
    </xf>
    <xf numFmtId="9" fontId="0" fillId="0" borderId="0" xfId="0" applyNumberFormat="1"/>
    <xf numFmtId="9" fontId="5" fillId="2" borderId="0" xfId="0" applyNumberFormat="1" applyFont="1" applyFill="1"/>
    <xf numFmtId="0" fontId="6" fillId="2" borderId="0" xfId="0" applyFont="1" applyFill="1"/>
  </cellXfs>
  <cellStyles count="1">
    <cellStyle name="Normal" xfId="0" builtinId="0"/>
  </cellStyles>
  <dxfs count="25">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13" formatCode="0%"/>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left" vertical="top" textRotation="0" wrapText="0" indent="0" justifyLastLine="0" shrinkToFit="0" readingOrder="0"/>
      <border diagonalUp="0" diagonalDown="0" outline="0">
        <left style="thin">
          <color auto="1"/>
        </left>
        <right style="thin">
          <color auto="1"/>
        </right>
        <top/>
        <bottom/>
      </border>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164" formatCode="_-[$$-409]* #,##0_ ;_-[$$-409]* \-#,##0\ ;_-[$$-409]* &quot;-&quot;_ ;_-@_ "/>
    </dxf>
    <dxf>
      <numFmt numFmtId="164" formatCode="_-[$$-409]* #,##0_ ;_-[$$-409]* \-#,##0\ ;_-[$$-409]* &quot;-&quot;_ ;_-@_ "/>
    </dxf>
    <dxf>
      <font>
        <color theme="0"/>
      </font>
      <fill>
        <patternFill>
          <bgColor rgb="FF181824"/>
        </patternFill>
      </fill>
    </dxf>
  </dxfs>
  <tableStyles count="3" defaultTableStyle="TableStyleMedium2" defaultPivotStyle="PivotStyleLight16">
    <tableStyle name="Slicer Style 1" pivot="0" table="0" count="1" xr9:uid="{907E77AD-9AB8-4800-96D1-4CF1ECE2919D}"/>
    <tableStyle name="Slicer Style 2" pivot="0" table="0" count="1" xr9:uid="{E6E22D5A-6868-4709-95D1-88CD9830004A}"/>
    <tableStyle name="Slicer Style 3" pivot="0" table="0" count="3" xr9:uid="{381F272B-595E-4C01-B606-634F98615E0B}">
      <tableStyleElement type="wholeTable" dxfId="24"/>
    </tableStyle>
  </tableStyles>
  <colors>
    <mruColors>
      <color rgb="FF181824"/>
      <color rgb="FFE7954D"/>
      <color rgb="FFAA3D4F"/>
      <color rgb="FFEA1653"/>
      <color rgb="FFFF5050"/>
    </mruColors>
  </colors>
  <extLst>
    <ext xmlns:x14="http://schemas.microsoft.com/office/spreadsheetml/2009/9/main" uri="{46F421CA-312F-682f-3DD2-61675219B42D}">
      <x14:dxfs count="4">
        <dxf>
          <font>
            <color theme="0"/>
          </font>
          <fill>
            <patternFill>
              <bgColor rgb="FFAA3D4F"/>
            </patternFill>
          </fill>
        </dxf>
        <dxf>
          <font>
            <color theme="1"/>
          </font>
          <fill>
            <patternFill>
              <bgColor theme="0" tint="-0.14996795556505021"/>
            </patternFill>
          </fill>
        </dxf>
        <dxf>
          <fill>
            <patternFill>
              <bgColor rgb="FFAA3D4F"/>
            </patternFill>
          </fill>
        </dxf>
        <dxf>
          <font>
            <b val="0"/>
            <i val="0"/>
            <color rgb="FFAA3D4F"/>
          </font>
        </dxf>
      </x14:dxfs>
    </ext>
    <ext xmlns:x14="http://schemas.microsoft.com/office/spreadsheetml/2009/9/main" uri="{EB79DEF2-80B8-43e5-95BD-54CBDDF9020C}">
      <x14:slicerStyles defaultSlicerStyle="SlicerStyleLight1">
        <x14:slicerStyle name="Slicer Style 1">
          <x14:slicerStyleElements>
            <x14:slicerStyleElement type="selectedItemWithData" dxfId="3"/>
          </x14:slicerStyleElements>
        </x14:slicerStyle>
        <x14:slicerStyle name="Slicer Style 2">
          <x14:slicerStyleElements>
            <x14:slicerStyleElement type="selectedItemWithNoData" dxfId="2"/>
          </x14:slicerStyleElements>
        </x14:slicerStyle>
        <x14:slicerStyle name="Slicer Style 3">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4 .xlsx]Analysis!PivotTable3</c:name>
    <c:fmtId val="19"/>
  </c:pivotSource>
  <c:chart>
    <c:autoTitleDeleted val="0"/>
    <c:pivotFmts>
      <c:pivotFmt>
        <c:idx val="0"/>
        <c:spPr>
          <a:solidFill>
            <a:srgbClr val="AA3D4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lumMod val="85000"/>
                    </a:schemeClr>
                  </a:solidFill>
                  <a:latin typeface="+mn-lt"/>
                  <a:ea typeface="+mn-ea"/>
                  <a:cs typeface="+mn-cs"/>
                </a:defRPr>
              </a:pPr>
              <a:endParaRPr lang="en-US"/>
            </a:p>
          </c:txPr>
        </c:dLbl>
      </c:pivotFmt>
      <c:pivotFmt>
        <c:idx val="1"/>
        <c:spPr>
          <a:solidFill>
            <a:schemeClr val="accent1"/>
          </a:solidFill>
          <a:ln w="28575" cap="rnd">
            <a:noFill/>
            <a:round/>
          </a:ln>
          <a:effectLst/>
        </c:spPr>
        <c:marker>
          <c:spPr>
            <a:solidFill>
              <a:srgbClr val="E7954D"/>
            </a:solidFill>
            <a:ln w="0">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rgbClr val="AA3D4F"/>
          </a:solidFill>
          <a:ln>
            <a:noFill/>
          </a:ln>
          <a:effectLst/>
        </c:spPr>
      </c:pivotFmt>
      <c:pivotFmt>
        <c:idx val="3"/>
        <c:spPr>
          <a:solidFill>
            <a:srgbClr val="AA3D4F"/>
          </a:solidFill>
          <a:ln>
            <a:noFill/>
          </a:ln>
          <a:effectLst/>
        </c:spPr>
      </c:pivotFmt>
      <c:pivotFmt>
        <c:idx val="4"/>
        <c:spPr>
          <a:solidFill>
            <a:srgbClr val="AA3D4F"/>
          </a:solidFill>
          <a:ln>
            <a:noFill/>
          </a:ln>
          <a:effectLst/>
        </c:spPr>
      </c:pivotFmt>
      <c:pivotFmt>
        <c:idx val="5"/>
        <c:spPr>
          <a:solidFill>
            <a:srgbClr val="AA3D4F"/>
          </a:solidFill>
          <a:ln>
            <a:noFill/>
          </a:ln>
          <a:effectLst/>
        </c:spPr>
      </c:pivotFmt>
      <c:pivotFmt>
        <c:idx val="6"/>
        <c:spPr>
          <a:solidFill>
            <a:srgbClr val="AA3D4F"/>
          </a:solidFill>
          <a:ln>
            <a:noFill/>
          </a:ln>
          <a:effectLst/>
        </c:spPr>
      </c:pivotFmt>
      <c:pivotFmt>
        <c:idx val="7"/>
        <c:spPr>
          <a:solidFill>
            <a:srgbClr val="AA3D4F"/>
          </a:solidFill>
          <a:ln>
            <a:noFill/>
          </a:ln>
          <a:effectLst/>
        </c:spPr>
      </c:pivotFmt>
      <c:pivotFmt>
        <c:idx val="8"/>
        <c:spPr>
          <a:solidFill>
            <a:srgbClr val="AA3D4F"/>
          </a:solidFill>
          <a:ln>
            <a:noFill/>
          </a:ln>
          <a:effectLst/>
        </c:spPr>
      </c:pivotFmt>
      <c:pivotFmt>
        <c:idx val="9"/>
        <c:spPr>
          <a:solidFill>
            <a:srgbClr val="AA3D4F"/>
          </a:solidFill>
          <a:ln>
            <a:noFill/>
          </a:ln>
          <a:effectLst/>
        </c:spPr>
      </c:pivotFmt>
      <c:pivotFmt>
        <c:idx val="10"/>
        <c:spPr>
          <a:solidFill>
            <a:srgbClr val="AA3D4F"/>
          </a:solidFill>
          <a:ln>
            <a:noFill/>
          </a:ln>
          <a:effectLst/>
        </c:spPr>
      </c:pivotFmt>
      <c:pivotFmt>
        <c:idx val="11"/>
        <c:spPr>
          <a:solidFill>
            <a:srgbClr val="AA3D4F"/>
          </a:solidFill>
          <a:ln>
            <a:noFill/>
          </a:ln>
          <a:effectLst/>
        </c:spPr>
      </c:pivotFmt>
      <c:pivotFmt>
        <c:idx val="12"/>
        <c:spPr>
          <a:solidFill>
            <a:srgbClr val="AA3D4F"/>
          </a:solidFill>
          <a:ln>
            <a:noFill/>
          </a:ln>
          <a:effectLst/>
        </c:spPr>
      </c:pivotFmt>
      <c:pivotFmt>
        <c:idx val="13"/>
        <c:spPr>
          <a:solidFill>
            <a:srgbClr val="AA3D4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lumMod val="85000"/>
                    </a:schemeClr>
                  </a:solidFill>
                  <a:latin typeface="+mn-lt"/>
                  <a:ea typeface="+mn-ea"/>
                  <a:cs typeface="+mn-cs"/>
                </a:defRPr>
              </a:pPr>
              <a:endParaRPr lang="en-US"/>
            </a:p>
          </c:txPr>
        </c:dLbl>
      </c:pivotFmt>
      <c:pivotFmt>
        <c:idx val="14"/>
        <c:spPr>
          <a:solidFill>
            <a:schemeClr val="accent1"/>
          </a:solidFill>
          <a:ln w="28575" cap="rnd">
            <a:noFill/>
            <a:round/>
          </a:ln>
          <a:effectLst/>
        </c:spPr>
        <c:marker>
          <c:spPr>
            <a:solidFill>
              <a:srgbClr val="E7954D"/>
            </a:solidFill>
            <a:ln w="0">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5"/>
        <c:spPr>
          <a:solidFill>
            <a:srgbClr val="AA3D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noFill/>
            <a:round/>
          </a:ln>
          <a:effectLst/>
        </c:spPr>
        <c:marker>
          <c:symbol val="dash"/>
          <c:size val="14"/>
          <c:spPr>
            <a:solidFill>
              <a:srgbClr val="E7954D"/>
            </a:solidFill>
            <a:ln w="0">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310442876792083E-2"/>
          <c:y val="0.15326395389387515"/>
          <c:w val="0.96337911424641587"/>
          <c:h val="0.73392360919919974"/>
        </c:manualLayout>
      </c:layout>
      <c:barChart>
        <c:barDir val="col"/>
        <c:grouping val="clustered"/>
        <c:varyColors val="0"/>
        <c:ser>
          <c:idx val="0"/>
          <c:order val="0"/>
          <c:tx>
            <c:strRef>
              <c:f>Analysis!$B$7</c:f>
              <c:strCache>
                <c:ptCount val="1"/>
                <c:pt idx="0">
                  <c:v>Sales  </c:v>
                </c:pt>
              </c:strCache>
            </c:strRef>
          </c:tx>
          <c:spPr>
            <a:solidFill>
              <a:srgbClr val="AA3D4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Analysis!$A$8:$A$20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Analysis!$B$8:$B$20</c:f>
              <c:numCache>
                <c:formatCode>_(* #,##0_);_(* \(#,##0\);_(* "-"_);_(@_)</c:formatCode>
                <c:ptCount val="12"/>
                <c:pt idx="0">
                  <c:v>113697.64</c:v>
                </c:pt>
                <c:pt idx="1">
                  <c:v>97653.540000000023</c:v>
                </c:pt>
                <c:pt idx="2">
                  <c:v>69469.650000000009</c:v>
                </c:pt>
                <c:pt idx="3">
                  <c:v>117785.47000000002</c:v>
                </c:pt>
                <c:pt idx="4">
                  <c:v>51206.009999999995</c:v>
                </c:pt>
                <c:pt idx="5">
                  <c:v>111064.25999999998</c:v>
                </c:pt>
                <c:pt idx="6">
                  <c:v>94539.450000000012</c:v>
                </c:pt>
                <c:pt idx="7">
                  <c:v>62616.81</c:v>
                </c:pt>
                <c:pt idx="8">
                  <c:v>65562.06</c:v>
                </c:pt>
                <c:pt idx="9">
                  <c:v>87670.030000000013</c:v>
                </c:pt>
                <c:pt idx="10">
                  <c:v>63912.19</c:v>
                </c:pt>
                <c:pt idx="11">
                  <c:v>45963.1</c:v>
                </c:pt>
              </c:numCache>
            </c:numRef>
          </c:val>
          <c:extLst>
            <c:ext xmlns:c16="http://schemas.microsoft.com/office/drawing/2014/chart" uri="{C3380CC4-5D6E-409C-BE32-E72D297353CC}">
              <c16:uniqueId val="{00000000-F3B4-4AA8-835B-F7B58BEF5565}"/>
            </c:ext>
          </c:extLst>
        </c:ser>
        <c:dLbls>
          <c:showLegendKey val="0"/>
          <c:showVal val="1"/>
          <c:showCatName val="0"/>
          <c:showSerName val="0"/>
          <c:showPercent val="0"/>
          <c:showBubbleSize val="0"/>
        </c:dLbls>
        <c:gapWidth val="219"/>
        <c:axId val="1567299216"/>
        <c:axId val="1567290576"/>
      </c:barChart>
      <c:lineChart>
        <c:grouping val="standard"/>
        <c:varyColors val="0"/>
        <c:ser>
          <c:idx val="1"/>
          <c:order val="1"/>
          <c:tx>
            <c:strRef>
              <c:f>Analysis!$C$7</c:f>
              <c:strCache>
                <c:ptCount val="1"/>
                <c:pt idx="0">
                  <c:v>Profit  </c:v>
                </c:pt>
              </c:strCache>
            </c:strRef>
          </c:tx>
          <c:spPr>
            <a:ln w="28575" cap="rnd">
              <a:noFill/>
              <a:round/>
            </a:ln>
            <a:effectLst/>
          </c:spPr>
          <c:marker>
            <c:symbol val="dash"/>
            <c:size val="14"/>
            <c:spPr>
              <a:solidFill>
                <a:srgbClr val="E7954D"/>
              </a:solidFill>
              <a:ln w="0">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Analysis!$A$8:$A$20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Analysis!$C$8:$C$20</c:f>
              <c:numCache>
                <c:formatCode>_(* #,##0_);_(* \(#,##0\);_(* "-"_);_(@_)</c:formatCode>
                <c:ptCount val="12"/>
                <c:pt idx="0">
                  <c:v>46639.99</c:v>
                </c:pt>
                <c:pt idx="1">
                  <c:v>40084.160000000003</c:v>
                </c:pt>
                <c:pt idx="2">
                  <c:v>28621.84</c:v>
                </c:pt>
                <c:pt idx="3">
                  <c:v>57158.5</c:v>
                </c:pt>
                <c:pt idx="4">
                  <c:v>24074.780000000002</c:v>
                </c:pt>
                <c:pt idx="5">
                  <c:v>44431.750000000007</c:v>
                </c:pt>
                <c:pt idx="6">
                  <c:v>45810.009999999995</c:v>
                </c:pt>
                <c:pt idx="7">
                  <c:v>33871.340000000004</c:v>
                </c:pt>
                <c:pt idx="8">
                  <c:v>32213.510000000006</c:v>
                </c:pt>
                <c:pt idx="9">
                  <c:v>38316.69</c:v>
                </c:pt>
                <c:pt idx="10">
                  <c:v>35866.939999999995</c:v>
                </c:pt>
                <c:pt idx="11">
                  <c:v>20931.129999999997</c:v>
                </c:pt>
              </c:numCache>
            </c:numRef>
          </c:val>
          <c:smooth val="0"/>
          <c:extLst>
            <c:ext xmlns:c16="http://schemas.microsoft.com/office/drawing/2014/chart" uri="{C3380CC4-5D6E-409C-BE32-E72D297353CC}">
              <c16:uniqueId val="{00000001-F3B4-4AA8-835B-F7B58BEF5565}"/>
            </c:ext>
          </c:extLst>
        </c:ser>
        <c:dLbls>
          <c:showLegendKey val="0"/>
          <c:showVal val="1"/>
          <c:showCatName val="0"/>
          <c:showSerName val="0"/>
          <c:showPercent val="0"/>
          <c:showBubbleSize val="0"/>
        </c:dLbls>
        <c:marker val="1"/>
        <c:smooth val="0"/>
        <c:axId val="1567299216"/>
        <c:axId val="1567290576"/>
      </c:lineChart>
      <c:catAx>
        <c:axId val="1567299216"/>
        <c:scaling>
          <c:orientation val="minMax"/>
        </c:scaling>
        <c:delete val="1"/>
        <c:axPos val="b"/>
        <c:numFmt formatCode="General" sourceLinked="1"/>
        <c:majorTickMark val="none"/>
        <c:minorTickMark val="none"/>
        <c:tickLblPos val="nextTo"/>
        <c:crossAx val="1567290576"/>
        <c:crosses val="autoZero"/>
        <c:auto val="1"/>
        <c:lblAlgn val="ctr"/>
        <c:lblOffset val="100"/>
        <c:noMultiLvlLbl val="0"/>
      </c:catAx>
      <c:valAx>
        <c:axId val="1567290576"/>
        <c:scaling>
          <c:orientation val="minMax"/>
        </c:scaling>
        <c:delete val="1"/>
        <c:axPos val="l"/>
        <c:numFmt formatCode="_(* #,##0_);_(* \(#,##0\);_(* &quot;-&quot;_);_(@_)" sourceLinked="1"/>
        <c:majorTickMark val="none"/>
        <c:minorTickMark val="none"/>
        <c:tickLblPos val="nextTo"/>
        <c:crossAx val="1567299216"/>
        <c:crosses val="autoZero"/>
        <c:crossBetween val="between"/>
      </c:valAx>
      <c:spPr>
        <a:solidFill>
          <a:srgbClr val="181824"/>
        </a:solidFill>
        <a:ln>
          <a:noFill/>
        </a:ln>
        <a:effectLst/>
      </c:spPr>
    </c:plotArea>
    <c:legend>
      <c:legendPos val="t"/>
      <c:layout>
        <c:manualLayout>
          <c:xMode val="edge"/>
          <c:yMode val="edge"/>
          <c:x val="0.81139025824301725"/>
          <c:y val="6.9115470727149173E-2"/>
          <c:w val="0.11556927445641745"/>
          <c:h val="7.775544878434775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81824"/>
    </a:solidFill>
    <a:ln w="9525" cap="flat" cmpd="sng" algn="ctr">
      <a:noFill/>
      <a:round/>
    </a:ln>
    <a:effectLst>
      <a:glow rad="63500">
        <a:schemeClr val="accent2">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4 .xlsx]Analysis!PivotTable2</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bg1"/>
                </a:solidFill>
              </a:rPr>
              <a:t>SALES</a:t>
            </a:r>
            <a:r>
              <a:rPr lang="en-IN" b="1" baseline="0">
                <a:solidFill>
                  <a:schemeClr val="bg1"/>
                </a:solidFill>
              </a:rPr>
              <a:t> BY CATEGORY</a:t>
            </a:r>
            <a:endParaRPr lang="en-IN" b="1">
              <a:solidFill>
                <a:schemeClr val="bg1"/>
              </a:solidFill>
            </a:endParaRPr>
          </a:p>
        </c:rich>
      </c:tx>
      <c:layout>
        <c:manualLayout>
          <c:xMode val="edge"/>
          <c:yMode val="edge"/>
          <c:x val="1.9305555555555565E-2"/>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E7954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AA3D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E7954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AA3D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E7954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A3D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878638608943351"/>
          <c:y val="0.27461644921364248"/>
          <c:w val="0.74455786528384604"/>
          <c:h val="0.67500791514103375"/>
        </c:manualLayout>
      </c:layout>
      <c:barChart>
        <c:barDir val="bar"/>
        <c:grouping val="stacked"/>
        <c:varyColors val="0"/>
        <c:ser>
          <c:idx val="0"/>
          <c:order val="0"/>
          <c:tx>
            <c:strRef>
              <c:f>Analysis!$B$22</c:f>
              <c:strCache>
                <c:ptCount val="1"/>
                <c:pt idx="0">
                  <c:v>Sales  </c:v>
                </c:pt>
              </c:strCache>
            </c:strRef>
          </c:tx>
          <c:spPr>
            <a:solidFill>
              <a:srgbClr val="E7954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Analysis!$A$23:$A$28</c:f>
              <c:strCache>
                <c:ptCount val="5"/>
                <c:pt idx="0">
                  <c:v>Clothing</c:v>
                </c:pt>
                <c:pt idx="1">
                  <c:v>Electronics</c:v>
                </c:pt>
                <c:pt idx="2">
                  <c:v>Food &amp; Beverages</c:v>
                </c:pt>
                <c:pt idx="3">
                  <c:v>Home Appliances</c:v>
                </c:pt>
                <c:pt idx="4">
                  <c:v>Sports &amp; Fitness</c:v>
                </c:pt>
              </c:strCache>
            </c:strRef>
          </c:cat>
          <c:val>
            <c:numRef>
              <c:f>Analysis!$B$23:$B$28</c:f>
              <c:numCache>
                <c:formatCode>_(* #,##0_);_(* \(#,##0\);_(* "-"_);_(@_)</c:formatCode>
                <c:ptCount val="5"/>
                <c:pt idx="0">
                  <c:v>188231.41</c:v>
                </c:pt>
                <c:pt idx="1">
                  <c:v>195290.74999999994</c:v>
                </c:pt>
                <c:pt idx="2">
                  <c:v>170206.58</c:v>
                </c:pt>
                <c:pt idx="3">
                  <c:v>189973.73999999993</c:v>
                </c:pt>
                <c:pt idx="4">
                  <c:v>237437.73000000004</c:v>
                </c:pt>
              </c:numCache>
            </c:numRef>
          </c:val>
          <c:extLst>
            <c:ext xmlns:c16="http://schemas.microsoft.com/office/drawing/2014/chart" uri="{C3380CC4-5D6E-409C-BE32-E72D297353CC}">
              <c16:uniqueId val="{00000000-6328-4EE8-8B42-E8D2F179F508}"/>
            </c:ext>
          </c:extLst>
        </c:ser>
        <c:ser>
          <c:idx val="1"/>
          <c:order val="1"/>
          <c:tx>
            <c:strRef>
              <c:f>Analysis!$C$22</c:f>
              <c:strCache>
                <c:ptCount val="1"/>
                <c:pt idx="0">
                  <c:v>Profit </c:v>
                </c:pt>
              </c:strCache>
            </c:strRef>
          </c:tx>
          <c:spPr>
            <a:solidFill>
              <a:srgbClr val="AA3D4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Analysis!$A$23:$A$28</c:f>
              <c:strCache>
                <c:ptCount val="5"/>
                <c:pt idx="0">
                  <c:v>Clothing</c:v>
                </c:pt>
                <c:pt idx="1">
                  <c:v>Electronics</c:v>
                </c:pt>
                <c:pt idx="2">
                  <c:v>Food &amp; Beverages</c:v>
                </c:pt>
                <c:pt idx="3">
                  <c:v>Home Appliances</c:v>
                </c:pt>
                <c:pt idx="4">
                  <c:v>Sports &amp; Fitness</c:v>
                </c:pt>
              </c:strCache>
            </c:strRef>
          </c:cat>
          <c:val>
            <c:numRef>
              <c:f>Analysis!$C$23:$C$28</c:f>
              <c:numCache>
                <c:formatCode>_(* #,##0_);_(* \(#,##0\);_(* "-"_);_(@_)</c:formatCode>
                <c:ptCount val="5"/>
                <c:pt idx="0">
                  <c:v>89527.419999999984</c:v>
                </c:pt>
                <c:pt idx="1">
                  <c:v>86543.48</c:v>
                </c:pt>
                <c:pt idx="2">
                  <c:v>72951</c:v>
                </c:pt>
                <c:pt idx="3">
                  <c:v>92190.099999999977</c:v>
                </c:pt>
                <c:pt idx="4">
                  <c:v>106808.64000000001</c:v>
                </c:pt>
              </c:numCache>
            </c:numRef>
          </c:val>
          <c:extLst>
            <c:ext xmlns:c16="http://schemas.microsoft.com/office/drawing/2014/chart" uri="{C3380CC4-5D6E-409C-BE32-E72D297353CC}">
              <c16:uniqueId val="{00000001-6328-4EE8-8B42-E8D2F179F508}"/>
            </c:ext>
          </c:extLst>
        </c:ser>
        <c:dLbls>
          <c:dLblPos val="inEnd"/>
          <c:showLegendKey val="0"/>
          <c:showVal val="1"/>
          <c:showCatName val="0"/>
          <c:showSerName val="0"/>
          <c:showPercent val="0"/>
          <c:showBubbleSize val="0"/>
        </c:dLbls>
        <c:gapWidth val="100"/>
        <c:overlap val="100"/>
        <c:axId val="184582400"/>
        <c:axId val="184598720"/>
      </c:barChart>
      <c:catAx>
        <c:axId val="184582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4598720"/>
        <c:crosses val="autoZero"/>
        <c:auto val="1"/>
        <c:lblAlgn val="ctr"/>
        <c:lblOffset val="100"/>
        <c:noMultiLvlLbl val="0"/>
      </c:catAx>
      <c:valAx>
        <c:axId val="184598720"/>
        <c:scaling>
          <c:orientation val="minMax"/>
        </c:scaling>
        <c:delete val="1"/>
        <c:axPos val="b"/>
        <c:numFmt formatCode="_(* #,##0_);_(* \(#,##0\);_(* &quot;-&quot;_);_(@_)" sourceLinked="1"/>
        <c:majorTickMark val="none"/>
        <c:minorTickMark val="none"/>
        <c:tickLblPos val="nextTo"/>
        <c:crossAx val="184582400"/>
        <c:crosses val="autoZero"/>
        <c:crossBetween val="between"/>
      </c:valAx>
      <c:spPr>
        <a:noFill/>
        <a:ln>
          <a:noFill/>
        </a:ln>
        <a:effectLst/>
      </c:spPr>
    </c:plotArea>
    <c:legend>
      <c:legendPos val="t"/>
      <c:layout>
        <c:manualLayout>
          <c:xMode val="edge"/>
          <c:yMode val="edge"/>
          <c:x val="0.57132152230971123"/>
          <c:y val="2.356481481481483E-2"/>
          <c:w val="0.37957895888013998"/>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81824"/>
    </a:solidFill>
    <a:ln w="9525" cap="flat" cmpd="sng" algn="ctr">
      <a:noFill/>
      <a:round/>
    </a:ln>
    <a:effectLst>
      <a:glow rad="101600">
        <a:schemeClr val="accent2">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4 .xlsx]Analysis!PivotTable4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bg1"/>
                </a:solidFill>
              </a:rPr>
              <a:t>Sales</a:t>
            </a:r>
            <a:r>
              <a:rPr lang="en-IN" b="1" baseline="0">
                <a:solidFill>
                  <a:schemeClr val="bg1"/>
                </a:solidFill>
              </a:rPr>
              <a:t> By Salesperson</a:t>
            </a:r>
            <a:endParaRPr lang="en-IN" b="1">
              <a:solidFill>
                <a:schemeClr val="bg1"/>
              </a:solidFill>
            </a:endParaRPr>
          </a:p>
        </c:rich>
      </c:tx>
      <c:layout>
        <c:manualLayout>
          <c:xMode val="edge"/>
          <c:yMode val="edge"/>
          <c:x val="2.095822397200351E-2"/>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E7954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AA3D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E7954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AA3D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E7954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A3D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01314864223425"/>
          <c:y val="0.19158441363141335"/>
          <c:w val="0.81882174103237093"/>
          <c:h val="0.67053988043161272"/>
        </c:manualLayout>
      </c:layout>
      <c:barChart>
        <c:barDir val="bar"/>
        <c:grouping val="stacked"/>
        <c:varyColors val="0"/>
        <c:ser>
          <c:idx val="0"/>
          <c:order val="0"/>
          <c:tx>
            <c:strRef>
              <c:f>Analysis!$B$31</c:f>
              <c:strCache>
                <c:ptCount val="1"/>
                <c:pt idx="0">
                  <c:v>Sales  </c:v>
                </c:pt>
              </c:strCache>
            </c:strRef>
          </c:tx>
          <c:spPr>
            <a:solidFill>
              <a:srgbClr val="E7954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Analysis!$A$32:$A$38</c:f>
              <c:strCache>
                <c:ptCount val="6"/>
                <c:pt idx="0">
                  <c:v>Bob</c:v>
                </c:pt>
                <c:pt idx="1">
                  <c:v>Carol</c:v>
                </c:pt>
                <c:pt idx="2">
                  <c:v>Dave</c:v>
                </c:pt>
                <c:pt idx="3">
                  <c:v>Eve</c:v>
                </c:pt>
                <c:pt idx="4">
                  <c:v>Frank</c:v>
                </c:pt>
                <c:pt idx="5">
                  <c:v>Grace</c:v>
                </c:pt>
              </c:strCache>
            </c:strRef>
          </c:cat>
          <c:val>
            <c:numRef>
              <c:f>Analysis!$B$32:$B$38</c:f>
              <c:numCache>
                <c:formatCode>_(* #,##0_);_(* \(#,##0\);_(* "-"_);_(@_)</c:formatCode>
                <c:ptCount val="6"/>
                <c:pt idx="0">
                  <c:v>170973.17999999996</c:v>
                </c:pt>
                <c:pt idx="1">
                  <c:v>146463.47000000003</c:v>
                </c:pt>
                <c:pt idx="2">
                  <c:v>146424.48000000001</c:v>
                </c:pt>
                <c:pt idx="3">
                  <c:v>123672.96000000001</c:v>
                </c:pt>
                <c:pt idx="4">
                  <c:v>106484.04000000002</c:v>
                </c:pt>
                <c:pt idx="5">
                  <c:v>138482.86000000002</c:v>
                </c:pt>
              </c:numCache>
            </c:numRef>
          </c:val>
          <c:extLst>
            <c:ext xmlns:c16="http://schemas.microsoft.com/office/drawing/2014/chart" uri="{C3380CC4-5D6E-409C-BE32-E72D297353CC}">
              <c16:uniqueId val="{00000000-8040-4205-9EE1-4A334A0506AF}"/>
            </c:ext>
          </c:extLst>
        </c:ser>
        <c:ser>
          <c:idx val="1"/>
          <c:order val="1"/>
          <c:tx>
            <c:strRef>
              <c:f>Analysis!$C$31</c:f>
              <c:strCache>
                <c:ptCount val="1"/>
                <c:pt idx="0">
                  <c:v>Profit </c:v>
                </c:pt>
              </c:strCache>
            </c:strRef>
          </c:tx>
          <c:spPr>
            <a:solidFill>
              <a:srgbClr val="AA3D4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Analysis!$A$32:$A$38</c:f>
              <c:strCache>
                <c:ptCount val="6"/>
                <c:pt idx="0">
                  <c:v>Bob</c:v>
                </c:pt>
                <c:pt idx="1">
                  <c:v>Carol</c:v>
                </c:pt>
                <c:pt idx="2">
                  <c:v>Dave</c:v>
                </c:pt>
                <c:pt idx="3">
                  <c:v>Eve</c:v>
                </c:pt>
                <c:pt idx="4">
                  <c:v>Frank</c:v>
                </c:pt>
                <c:pt idx="5">
                  <c:v>Grace</c:v>
                </c:pt>
              </c:strCache>
            </c:strRef>
          </c:cat>
          <c:val>
            <c:numRef>
              <c:f>Analysis!$C$32:$C$38</c:f>
              <c:numCache>
                <c:formatCode>_(* #,##0_);_(* \(#,##0\);_(* "-"_);_(@_)</c:formatCode>
                <c:ptCount val="6"/>
                <c:pt idx="0">
                  <c:v>67730.430000000008</c:v>
                </c:pt>
                <c:pt idx="1">
                  <c:v>75659.25</c:v>
                </c:pt>
                <c:pt idx="2">
                  <c:v>51504.74</c:v>
                </c:pt>
                <c:pt idx="3">
                  <c:v>54599.55</c:v>
                </c:pt>
                <c:pt idx="4">
                  <c:v>51216.37999999999</c:v>
                </c:pt>
                <c:pt idx="5">
                  <c:v>78333.899999999994</c:v>
                </c:pt>
              </c:numCache>
            </c:numRef>
          </c:val>
          <c:extLst>
            <c:ext xmlns:c16="http://schemas.microsoft.com/office/drawing/2014/chart" uri="{C3380CC4-5D6E-409C-BE32-E72D297353CC}">
              <c16:uniqueId val="{00000001-8040-4205-9EE1-4A334A0506AF}"/>
            </c:ext>
          </c:extLst>
        </c:ser>
        <c:dLbls>
          <c:dLblPos val="inEnd"/>
          <c:showLegendKey val="0"/>
          <c:showVal val="1"/>
          <c:showCatName val="0"/>
          <c:showSerName val="0"/>
          <c:showPercent val="0"/>
          <c:showBubbleSize val="0"/>
        </c:dLbls>
        <c:gapWidth val="100"/>
        <c:overlap val="100"/>
        <c:axId val="184575680"/>
        <c:axId val="184599200"/>
      </c:barChart>
      <c:catAx>
        <c:axId val="184575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4599200"/>
        <c:crosses val="autoZero"/>
        <c:auto val="1"/>
        <c:lblAlgn val="ctr"/>
        <c:lblOffset val="100"/>
        <c:noMultiLvlLbl val="0"/>
      </c:catAx>
      <c:valAx>
        <c:axId val="184599200"/>
        <c:scaling>
          <c:orientation val="minMax"/>
        </c:scaling>
        <c:delete val="1"/>
        <c:axPos val="b"/>
        <c:numFmt formatCode="_(* #,##0_);_(* \(#,##0\);_(* &quot;-&quot;_);_(@_)" sourceLinked="1"/>
        <c:majorTickMark val="none"/>
        <c:minorTickMark val="none"/>
        <c:tickLblPos val="nextTo"/>
        <c:crossAx val="184575680"/>
        <c:crosses val="autoZero"/>
        <c:crossBetween val="between"/>
      </c:valAx>
      <c:spPr>
        <a:noFill/>
        <a:ln>
          <a:noFill/>
        </a:ln>
        <a:effectLst/>
      </c:spPr>
    </c:plotArea>
    <c:legend>
      <c:legendPos val="t"/>
      <c:layout>
        <c:manualLayout>
          <c:xMode val="edge"/>
          <c:yMode val="edge"/>
          <c:x val="0.58243263342082241"/>
          <c:y val="2.8194444444444459E-2"/>
          <c:w val="0.21582808398950132"/>
          <c:h val="8.571486849846400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81824"/>
    </a:solidFill>
    <a:ln w="9525" cap="flat" cmpd="sng" algn="ctr">
      <a:noFill/>
      <a:round/>
    </a:ln>
    <a:effectLst>
      <a:glow rad="101600">
        <a:srgbClr val="AA3D4F">
          <a:alpha val="40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solidFill>
              <a:srgbClr val="E7954D"/>
            </a:solidFill>
            <a:ln>
              <a:noFill/>
            </a:ln>
          </c:spPr>
          <c:dPt>
            <c:idx val="0"/>
            <c:bubble3D val="0"/>
            <c:spPr>
              <a:solidFill>
                <a:srgbClr val="E7954D"/>
              </a:solidFill>
              <a:ln w="19050">
                <a:noFill/>
              </a:ln>
              <a:effectLst/>
            </c:spPr>
            <c:extLst>
              <c:ext xmlns:c16="http://schemas.microsoft.com/office/drawing/2014/chart" uri="{C3380CC4-5D6E-409C-BE32-E72D297353CC}">
                <c16:uniqueId val="{00000001-AEE3-455A-895A-83B83D239278}"/>
              </c:ext>
            </c:extLst>
          </c:dPt>
          <c:dPt>
            <c:idx val="1"/>
            <c:bubble3D val="0"/>
            <c:spPr>
              <a:solidFill>
                <a:srgbClr val="181824"/>
              </a:solidFill>
              <a:ln w="19050">
                <a:noFill/>
              </a:ln>
              <a:effectLst/>
            </c:spPr>
            <c:extLst>
              <c:ext xmlns:c16="http://schemas.microsoft.com/office/drawing/2014/chart" uri="{C3380CC4-5D6E-409C-BE32-E72D297353CC}">
                <c16:uniqueId val="{00000003-AEE3-455A-895A-83B83D239278}"/>
              </c:ext>
            </c:extLst>
          </c:dPt>
          <c:val>
            <c:numRef>
              <c:f>Analysis!$F$3:$F$4</c:f>
              <c:numCache>
                <c:formatCode>0%</c:formatCode>
                <c:ptCount val="2"/>
                <c:pt idx="0">
                  <c:v>0.45663263561484241</c:v>
                </c:pt>
                <c:pt idx="1">
                  <c:v>0.54336736438515754</c:v>
                </c:pt>
              </c:numCache>
            </c:numRef>
          </c:val>
          <c:extLst>
            <c:ext xmlns:c16="http://schemas.microsoft.com/office/drawing/2014/chart" uri="{C3380CC4-5D6E-409C-BE32-E72D297353CC}">
              <c16:uniqueId val="{00000004-AEE3-455A-895A-83B83D239278}"/>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umDim>
    </cx:data>
  </cx:chartData>
  <cx:chart>
    <cx:title pos="t" align="ctr" overlay="0">
      <cx:tx>
        <cx:txData>
          <cx:v> Sum of Sales </cx:v>
        </cx:txData>
      </cx:tx>
      <cx:txPr>
        <a:bodyPr rot="0" spcFirstLastPara="1" vertOverflow="ellipsis" vert="horz" wrap="square" lIns="38100" tIns="19050" rIns="38100" bIns="19050" anchor="ctr" anchorCtr="1" compatLnSpc="0"/>
        <a:lstStyle/>
        <a:p>
          <a:pPr algn="ctr" rtl="0">
            <a:defRPr sz="1400" b="0" i="0" u="none" strike="noStrike" kern="1200" spc="0" baseline="0">
              <a:solidFill>
                <a:sysClr val="windowText" lastClr="000000">
                  <a:lumMod val="65000"/>
                  <a:lumOff val="35000"/>
                </a:sysClr>
              </a:solidFill>
              <a:latin typeface="+mn-lt"/>
              <a:ea typeface="+mn-ea"/>
              <a:cs typeface="+mn-cs"/>
            </a:defRPr>
          </a:pPr>
          <a:r>
            <a:rPr kumimoji="0" lang="en-IN" sz="1400" b="1" i="0" u="none" strike="noStrike" kern="1200" cap="none" spc="0" normalizeH="0" baseline="0" noProof="0">
              <a:ln>
                <a:noFill/>
              </a:ln>
              <a:solidFill>
                <a:schemeClr val="bg1"/>
              </a:solidFill>
              <a:effectLst/>
              <a:uLnTx/>
              <a:uFillTx/>
              <a:latin typeface="Calibri" panose="020F0502020204030204"/>
            </a:rPr>
            <a:t> Sum of Sales </a:t>
          </a:r>
        </a:p>
      </cx:txPr>
    </cx:title>
    <cx:plotArea>
      <cx:plotAreaRegion>
        <cx:series layoutId="regionMap" uniqueId="{55AFC64C-B7C3-45F3-9270-0906C62715BC}">
          <cx:tx>
            <cx:txData>
              <cx:f>_xlchart.v5.2</cx:f>
              <cx:v> Sum of Sales </cx:v>
            </cx:txData>
          </cx:tx>
          <cx:spPr>
            <a:solidFill>
              <a:schemeClr val="tx1">
                <a:lumMod val="50000"/>
                <a:lumOff val="50000"/>
              </a:schemeClr>
            </a:solidFill>
          </cx:spPr>
          <cx:dataPt idx="0">
            <cx:spPr>
              <a:solidFill>
                <a:srgbClr val="AA3D4F"/>
              </a:solidFill>
            </cx:spPr>
          </cx:dataPt>
          <cx:dataId val="0"/>
          <cx:layoutPr>
            <cx:geography cultureLanguage="en-US" cultureRegion="IN" attribution="Powered by Bing">
              <cx:geoCache provider="{E9337A44-BEBE-4D9F-B70C-5C5E7DAFC167}">
                <cx:binary>1HtZc9w2Fu5fcfn50gFIrFOTqboku1styZYseX9hyZZEggtAAuAC/vp7OnYSq62xMnPnJa6KY4kL
gLN+5zuH//yy/ONLe3djny1dq90/viy/Pq+87//xyy/uS3XX3bgXnfpijTP3/sUX0/1i7u/Vl7tf
bu3NrHT5S4ww+eVLdWP93fL8X/+Et5V35tx8ufHK6NfjnQ1Xd25svfvJtUcvPbu57ZTOlfNWffH4
1+fZTavujdXq5vmzO+2VD29Cf/fr8wf3PX/2y/Hbflj5WQub8+MtPJvwFzEljEks0W9/8PNnrdHl
t8sRxvIFwzzmmGD525/f135108Hzf21Pv+3o5vbW3jkHx/rt/w+ffXAGuPR/nz/7YkbtD9IrQZC/
Pn+rlb+7fXbtb/yde/5MOZN9vSEzh4O8vf7t5L88lP+//nn0C5DF0W++U9Gx4J669IOGtq2x6vZ/
qJ5YvKCSUkySr9pBR+oR8QsieEJi8e2G5KF6/sKGHtfNHw8eKWZ7/rdQzM9t53vneXDnf+o88gVF
CeUk4V/VA9L/3nmkfIGwSFgiyVffIQ+1c2TS/35bj+vo6PEHJ/l7+Mu+bZU2Ctz5+7M/MLn/UCUE
vcAxwQzxx1Ui5AtMBEuooF9VIn9f+2s8+ys7elwbfz75YP+/Pt//PVzmwa4h27y6m599NLb5XT7/
/7mGxC9kImOSJPGj7sLpCwZXKMPf3IX9vvZX3fyVHT2umz+ffHBKOOTHv0U4e7Br0M2bu+Xmf+g0
CX5BWCKIwPirYo6yDMSxBJQmOY+/Oo14qJgnt/O4Vr499uBwcLYPf0uVXN5p7UI73fxP4RmEMyEB
nYlv6f84/3P+QiRCgGbQo5r5q7t6XEEPnz7S0+XfE6Lt7I2+ffbG+Jv2dyP+d5HtZ0Dx31/7A23n
N/5m8xtM/w5H/vzqb2qA8uHo0Wc/yY5fL+1vf30OzpvE36XLw0u+Pfk1fv6B6X545u7G+V+fRwK9
gFcgipFgJKZcQByY775e4i9YEjNImjjGSCacPn+mjfUVlBD4BUIYIE4CG0AxoNHnz5wZD5di8oLG
CZivQIyzmEn6R4V0adpQGv2HPL79/EyP3aVR2rtfn0OU6b/edTgeJRLSNkkIpjSBfyIMh+2/3FxB
EQY34/9TzgtaRW/GkzgeS5+1jey6jMSVPCdjIl3KqdXnDRuhqJLVJPLvZPXI6nDA71enKCYiFhjk
IzhlcXzY3XerD0O5ymld/G4e42nDQ8c2WMVtHrjqTv6LpaSgCHFCQHRHS9mknjDuqN8RbNWujfGc
Jq7qN4nAw39xKhClTBjHoPQEUu73p1rx0vSBEL9rl0XtlmQdcut9k/mFj/ufnwqQ1Q8CTOBMBCBz
DADs6FTL5MempSBAqQqZTiF+re3I7peJ5aUu6oybJEqHomiyHhGT/XxxsMFHFk8IP1gxlvTonH6p
iiLpvd9FhrAU10u10ZgMAN3+KKf/ko1QoANiLgRhcSL40SquFImbhmLcWUmYBdvUzqd0Gfi0qftO
d08civ9wKBpj8K04wTGYCTkc+juTpMMUJxX2464MzKdVY+94Et+L0nQpbrszVtR9+vMD/ihGGsex
BMpAACGAGHq4YlE19SwSM+5qRGmmC9mCsqTZ/HyVg5i+c3RwNViFANYQkNYITQ6u+N25yFhg3QzN
uEvUFNIkis7LyF0EHMfZgjr6xJkek+L3qx0pjRFUDiVtx52YZpwWRqXl1Pm0r5s+NVL61DbN558f
MIZA+sMJBReMJoJJMMijUBaqhol5BrfDFSMXxJD2XYnGYs/MKk5GUzb5OFzxKYhsaIm7ZR6J054m
J2NpzW4a5bQZl3hO7cz7L8uSRPvAiEzjwg/Xqw1py6syw82wPhGY8CP6TxDhCDMqePyDxQlXsth4
cCM1j6RJSTQ3PF0WOm2iKEGpcnjIemHmPAHpbeJ2IZ/QypfLEYv+FfdrkpV9KS+gaC6f8AX66NYg
Ph88nMJ/R85Qy5Y1K239bvHVJi4qmitbLdkgmN+4oXRvF5XUGZqZbHPTrvp00bU9d0U3NXm3+Cmd
kE4b4up0CBqlCe6LvNACpTouw1k5xvZVzNZovzazyYfJ+3zmtM8Gb+W7cVbROz+JIpOJGjJLIr4F
QK3SKbFiM5rl1DfWpXPUjpkvqEyXlp5VpHk7zsK9akhI0pCszdYmo8rnyF8YydeTQfE1DaRN0qVo
i3NUBfQ+ssO0q3UTZQUN901IrrzwTSp52Zx4VvkLeLPe/txaf3QQQYHniMHrIQdDEfDQHRdX0pHO
B6W76lXUjFWmBNpjtbwZ16LfjGOH/2OXhBUpBGuKKD/Em4crSrtMQq6N39mi2GNHNi0uv0hNzm2i
SdZI9uHnJ/wxtwvKIdpgoEElQJ+jsOZKOWnQjd/Voe3TeCLzvjRzshGxDfnPl/rRTAUVMdS5TEqU
JOzITMuRTvU8GciCYqJnJhrw3swjf0KAj65CmACYApUbyPChADtURJ2fQYARs8imA5fRyTiU4vLn
h8E/xjE4DZSNAtAisMT0aJ1GRStmvXS7ZcEmN9jVW7Z0Zc6cNikpHAdIAYaPeFKeWvHexuXOkEY9
FZaSH8Ip0DkJw1RgmmBMjvQ3DIasauJuR5aWb+ZBtttirv2WzF6JLCEr2WO9yI1F5q41M79qfD3v
Soqml926Jqe0McUTGogf3RPniZAikYBZj9JKSaIoKqrE7XQ56j2ydCPROKer9sOrwvVjVvGx/9hS
cOV2iMLF2KuQMYXiXAptcq7buxYv06tGLPm6zp/GOoqzQfn+OuhRpb1X9ISW1XyqQ/sqQv4pcPH4
ASTGSQKQHvz/oPvvsnCBreyCmEGoVbgqLe+340zKtxVEsawfeJ0XDqOs48xDxrLdaajWG6H4G2eZ
3I99UWSLsNOmQka+Nis3bwRZ71Za6NNEVHI792XI56aOIFf4dmvV0D+REvBB7Q9xxIHl+/MER9Y5
+xY2bILbhaguT4tV6lNPF53XEcq9shDkRxbSukb7xIQpcz3pnrCC5FErOJTvFJwR82N3FwFiSaCj
29VR5ft0bAX9DLDqkhOn01aiW9NOy3se4+qLs5kfpzKrTVzlTVLpdCrdNkbO5JYRns4Kz13K47HP
Klhwt9C6zkhd4rugMYZQya950mwoqk3OIvm+F7U9wRNF5xHF7clqzA2f0DULsFBJ8Jj1s3T0CZn/
CN0Eg2qQAAVLGYJq6aHR0FjwpqghIAx1+14XOz7VbR6tqErNSpMncOIjYZsBVoTKk3B4MTqqKFzb
MG0h6Oz6Ut9LJQrI2lOdkmWVT6x0eNORJcFKQsaSEMbRMbAfinLseUHBkmz5psFJ+b5u16JNuwDV
BA1N26aIReK0YLh6woQeyb4MkZjxBNo8CID3Q4n6Ug1xUSO3G3n4WHhxufDhCpHivuX+M5S87IkE
9Rv2/OGsNJYCx1Bws+OYLqfILUqByUIZrq/GBHBPKJI86GrKkmm9Q0X3xqh2ycvQA7ghQmWTK22O
AK38PL08akyUEcgsCSfoOC2r0U+0msB/Z2F8jnrOUlIVVRopU2a0qu9/vtwjSZMhQI5CYqi9och/
KGkm66bsxgWUHOyyK3tcZOsoqidqxEfli4HJAEsC8RJxhABqh0uDSe92UCPbTExLlU+6lhkrRLSf
XQLeOZExj8LQbuai7DJgA9rNMkVn68qeipE/FuUC2ruAlhH4kKDH/jqHka6Va2Azk0ebquTl1tn1
ZZhCmZUdjrLedXpXcR+nphnRE26FH/NgQEMgbMDtghzbmi+nIk40sruASfW55zai6WxLf+EUpl06
M8NYZkZ4QRoFGQGgZkNLc1T3TZx2A6+abI7C/HKqkrJIY+9HnNGSutufW8Yj2zzQsAxiDAecg48s
o4qEClSzYceWwm5Hsk4b4ga5ASyvnhDJI0tJiJ9cIg40nDjmflSNXT9YPuz8WnT3JAn89aqrzqYR
Q//FsQCDUoLYgVL7Iar1ul99L8iwo7GyryXFbGsCL85q629+LsBHghisBLQIQEQOpNaRzcdrUdZm
hJVUgsq88Lq/7soh3kB2W1O0dCQlpgpPhI9HRQn1NWEYWkpUHmmtLJH2sqLDLsR4yjq6zKmquzi3
KHZPLCXpI4kekAaw8FxykUDEehg8REPMWK4YTIRYNGxZCN5mqiLzmtOu0G3GrItzBpi8zYZkmqMt
VI7jslkXnnSvO0HBuVQCHOO+gDbDu7if2iq3uhFj3rctU6kvhurGzDR62SSCum1ZtWWdOo1VlWo4
UpJxZoTI5URnvJ0TlIQzGlVyp4Ll68YQW9Vp2VT4DRvjFectWWi8rXG3sE0i+yr+IGesujtWA1lS
pj1UMNXZUtmkyK1qbPXWtQaHfauBXdtVCndkE6Een3brskQ7NzaTe0U7PYqXxI+heM0cbvUWfo7m
bTdb1yzpSGSjc91MpHwpuKY8H2li6u1Ih/Z6iiQrTq2OzAm2jS7SUNrYprJS7zrHEpIuIzH1npdz
2WdiNKbZhkaFctP1QdvzeoJyUmVM9nO7c26WTb5MNCy5mUKBzrrIFQh4h66P876jB3ClhIhvuCuA
L+GFX7JVEGOve6oivjPe1eFyLvh0rRWxfhOiQfIrZDpRbsYwleMeQOyyHcQi1ZbokvUp6ct1zZyr
5U5bSFGbtjjQfyiKZZMOjoq3dTW02dJ2JskcqSac1n1PTzoxvgaedztOtH9f9HH7oQWm/sprNqdF
Vy8nUajbTTLIi7ENWz247VJxfVVwIFFJVW6aVatdTJo5b2TTbctxOk2mMGdx727qhpGUjnGRj/WS
bLskuSVJNG8mHRzswfIdczPaSKLYjsjVpICY17TWsjxzpF8+cz/MORlDnWo+3awDoydTsqzptISU
qvYdQmzDIjZcUtnZDUZaXTbJvGYjUvhMdG31MplBH1AtqNSp4t2yJnRHI/xaqapPq7AU+0KSJlvq
ZgRQ4XjWQpbInePr66Zd9oMnPlVroPBXc9EAu7TMxJ42yxLnK2qGzeJtm9ZVMWUNb7qzOalyBZq9
LAS56qJq2eBZVNt1tWsWIj/mRRzi3QrQ9aoo2/6TFg6d64qLPPiB5Qvy9p5Fg84iP/W5AMJ6x42h
e9vKNeW6WPYJUvHeBS42QFKcxnjZKtrjbUPDhw6NwwetihNOybUawwe6FHozIwlE3Vh86FhUWvDA
TuynkevtFA1FvtLoTSNFceqKROWsNGKDahKBHoY1JbVc8wrqhitlo+lyKK24cuMCeTFx5z4UPG2X
VaUh0ndumPsTkXh1olzXnehOTPfE+TENal6B4Wom5deQjWbQawKleYxsWWyMkv5NY0S1pjEYz/su
RsmS8wHqCEimECTqcpw/9iD7V8MMVlaHQqeiwXs0lmETGW+2DK/iDP5hNgs4xKagMQ3uXIS5nN3H
UFnuhjTEBZmbfHWx/RjhZIvqUpRpFMOedzyKzZeFr01/kjRtPOadsHxKg8FcnEcR83XacGHLtA0T
jU6BnkUOSNpBnVgLkkp9o9t8Fd30pgJW/zJu6/hN0elG7eea2Q2VaniF51hsjZrmNV0GIOMq5dBn
hgrAk8Dv9hu+ovashyT7xTtRss2hc5XVM1XJ+bI4dk2mpriXQO6PGaCADorvYkL5GsTyFvpM3b3t
LdNp6Bz+pBducyjR6IXUcf9RST3nrnJh5wGxvBGB1B8nB+8JUbtsjI+H09VAPa0WTfYwOeHeAwsH
bZDaVevWTyNYQpXI4UNViuHL0JNm2yzR8IEPsTqpbeHbfbL4ZqsCcu+pGQLUh2aec1bQzufj6sA5
2jiiWYNIk5eM0awGwLUfB9rkHCjkDVSl0m4bqJu6k643cL9X5fRuKOZy3QiqsEhlORcqM4gMMuug
NbjvddUebDCaT0tZV9eoq9rUcDvGWwfijN5pSeCIvG9kdVbGK2yVNdO7KV7G+WVZFOWFEoPIDerX
l8YLcU4qAm9NerUjSLHrycd0TQGJDKesr6qLenb9J6Du4g0QZ/SitOCqG226dbuOS7OdzUK6Hee8
vGjbfuJZTyt6AU40gFOBdoGEH06bTpILXlX9ZzuV9jVZLX7jFMhb1U3YrUGHnahAqJEl4SwC03zd
U9t/pocKM9Ns7ae8GWq1A8mqE7p08NpoXC6xJcNpj2t5vk6u/+xDbz9MFch15Xz4YnBph3QdKxDr
oLvitAQ2YjdK727l7OgFWYdoTicjy4tFUdUD3u26cLvWCRELZOA5IW2azLgI5xjScp/Psi6zqBLD
kJa6qjVEqLFw6WAQftPjQC8UNcXbnlXlK0ZH84mVrMn9WK1VGkdrgdNJAIikYxJvSi+G02BRkZfR
OJ3ZDg5PJF/eiqiGuFgW6iTp4ekeReXFKAe2ppWggMA1EtCxSIZ2b5uiK1IvgcTJVTMXp1Xn4YZi
kiIty7n1eb32ZkxX8HOgsbR7HwKQ1oJP7paXhGZFEdo9tv5g5WPVj9Bziem16qrpHTF+5NlsYJMt
Rc2V8La/SeqKXUdyHdq013N1EVinceqIth/aYV0uBXPjO9QvzZU6qDu2hTinNS6uBjLBQk0UtodJ
ijgFkFFdEAdSE3UVLlEZhXu0GrWLFkJ1CqR9cRV3NdkPqNLnLJnhjWZtrgCyL28lgo7MOk8kOl0t
UOKbqKvCPe+B5suKsSpMCnyLs6lm0awzFhmuIZKvXZSpiBVXpIKSK+1HN4R9N02sgrODJa3RYCH0
MgKWBjGrumib2uCsw6u5jJIaSNwptKBr5EQ17VlihM6k8/dGRFAzTairs6Gbh/vI1PgdKfs5n2aH
79hUj2MGrje8hmix3pu47m3GYh2azNZ0vIvFuFLQGQfb73sQC4NM7nZobrBNYWwYv1njNrqSHkE0
42y6W3oxvPaFBuJ/iPtXfgr9x6UuhtfYi/KiYIPaeTkKmGsWyR7imLSbIMC/dVT694NSGr22kXAQ
403T0b0JBoQnEv4SauJi24+FhSDGYg68qU9GaAgn4tPqhH9VdH25m9p2OiGsA9VA2jxPLGnGlPJS
XTLi+m2viXtr+6lI7Vrd+9LAr1zf93kx9clnKku6JX27Zj0JJo+TRWd0StgOg7xS6GiSvIFh7D71
SReucGeXSwAhc6pJXbyL25JkbWSuvSQvJw4hcUFIQS1jbT6Psn41AP+Dxmo6rbvewrINu0Bzh19V
vIO4kazQXkcqermwqL/QgRbXrIjNXi5qLCHodmuKNTQbB0zRnip/OoXQ5gp88yUqZ3uuS65Py0qH
FKA+QEAJ7T+gUG8krYZ9w/Vy1ZgpuZ1acjoohCGkCfgrccNGM9xniydny1KT94C3URrQYj7L+dBn
Mn5bAbO8HwrDoVtWASCdahPei2Uur5Cu5i1f+hNm2iGXc6TKVA3mRMzrDfB/3cem4yuHnANCiiNS
QqCHCifjIZAqq5vG7ZsIJelUROii6Ui/deMIjS889jkg1PmSiAbtkrp21+MQMQh1srwaHSwy0oJf
jkjqFIjpkEJRSm6kkuwdc749UYq/W2rU7YAurQAHApRLOxVMatRcvVQCiBuD432RrPhzhYp5O4kI
7XyM11yoMcnnCZzR9ZVP5waowjIEdgbggryvCd1pupgtuBMEYFNDdVqyQe5kK+X91Izx+6Un+JXs
5ApTCx1501dLnS2AYbcUYtdZV7j2Haacvw4TaIlObhm2HHBhar0tN+Wy9HcrtJrirC+9ejXUYAZK
t6VKo0X3ENb6UKWkq1229LXNoIGQytXH2cgZAHpS1jd1WJrTctYnvhnaOqUkOjehXl6vKH7vVdRt
wRW3KllrAGqUAiDj46uO0OJt2xiAGWTaNhAC67QXXl0JZNe86RJx5oKC6IWqTUXbJm0SSy+6nhqT
VbPE0LRo130IZnrJaARppxNRAw7H9GlfLvVFWyeVSYd6bcHvrIaytI1qcCPooU0vZeHrD11M2I5i
IOCBWjOQsdYeKI1RRculLJLhPACZDVUdn1STjrZuTuWs0BVMXp/ami8nxeSzSbjmZQtaPnN65hD1
TQvN0dmnenb+HHjfkDJXn+Alkh8k9EyhzrmxRo9ZV9E1G3o2ZTXXlUinyeMPSyB2b2L+Ga/srrBm
+ASItf3Uus5A0HLRW97SaJtMY7nxfOxeBwaIpQ0WQ9Nb+jUrl6LqAQ4tJ1PcTeo0SsxM8okjx094
gzHkGMLMRTSXTZnqwM0F0DcGpbGoSwNtgBaCkMG0/tR1tX4dD6J7zRTwyKkKEEDrava3rYvRZ+3q
6nYo0NpncQQvHGAK4JTa2lwH+Chg/mAB8YDeFBQ5XcVayBIRS/ZtLyCjyKX/CNkSuLO1xfEIpD9c
MoWK3wA+hsq06SpyWjaLu+0a42/d6IBEcGHs7huigVVwqy8+IVfjz01lIdMbEpZLNyzFp7ixUIST
QkUy69fC3Ua0j7o0XifJN2tD9XU7LBAYXLXMZstLP5ktkTMwGuNSgXlU8QgAx+jWXFdsbChgTFN8
opjCM7JfWpvzWjY0JxqBGekk+CafHOxyU1MYl8o1TGlxKGIWWLRWRLsztVIPdSPSE66yuZ9VuQXw
Cm9eI7GYPZmBfswrIkO0i8IBAnjokBYpFFPyvK4Q0TmzHYDWtmCgpWiFVJe1y1h8muxUVWk5Krmk
RUm7+3gcYdVxSALOZ5LIT1+FSaeoHNME2pMqWx2CyTSO18WkUE+YXSJpmSUDc00GXBCIPsFEX1OY
H9O7VtVA98BkgYICs1makx4DC3QRD3TBW09XehasN9d0hokKUCH0W7O5GOB8DafAh9geNfWZgymG
adcFGPx4KSc/3U8MuNF0jGlfvWQRrt40YYp3etT6fYclf91wORRZ3wv0Zq56F04WoOGLCzLCoU/i
CcEeAZXDrpUuQHksLDqC/p+hbQY6Ad8F7r8KOfAyIMUp8nD/qmN3q6B6USlsVp4HN7k7Vbu63cnR
DtDAkJ2qd6hR8ZK1CPwnnUGd64kG/u90Vi5CKdghIDpakb7eI2aBRLHQW6khuChqwdUJFNyQhCF/
Zd2IiibVYoSxqnhd1vaimhKUDQcI2XId+7SF2cC3uEbxZmgNOoWetD2ZuzF53ZViOYdZJvVuXav5
7RyT6Wsb7NvU5+XXdsnX2cUvpg9WldW3D7z++PFfbwz0QbrfPjf685eH78P+/Onl7x+W/fSu3Z05
DHC645sOu/njXbCZb7s7zH0++OGHIdR/M2b69Tu1f3PxwQzql+8/zfp9jPYwpBkfmN0/JuZ+mEA9
+mLlzznU3577NoXK2AsJzS4G86cwOgrNfOBtv06hAqv6guJYIiETAGPsMEL4bQiV4xdAZHP41gZm
NGNggt3XCVQs4JuDGDILlIcw3gEfsv0nE6hH7dzDijhGkkFfkzOZwDzoQ5a3xbXVeG7oHWAMP8pN
3JMeynfUT2p9R+nYNzckssDO6iG4QHIfLxSGkCJToM+ltkRHmYmXhp8CLx1GIOwiPZzMsmvdy5Z2
fRQAFC/0UHf6ejF5xBjk1qwESh3f8cWE8aqtFt7eCEH74kvSQUx5VTJonSdph8GD2oxA3dpdVBj5
WedlS+1him2mXXeOeRhgy2XX4XAWd4mu7yM3HdiH71T6zfS/H9N9yPUTJhF84wETljArBOqL0RHX
z3GnxopV4q6Yja6HE9+Rlpy0ZHKWn6wOcM+craqHbx0hCKi42P58+aP+GqwPQxeHjlYCcxcMGPkj
Jh6qZ+Ggz6dua9wkjcq8gagMOErG0VBvLeBa63Nb+ZJAJ5FEa68vIY4HF2eYrGxOTmGOSrsmNWZI
LGA9Kga49vNNHloPf/ZYYYAOpnLgM6TDzAqBmaPjbsFSqSgGaj26ZZGdYOSjXHnJhy2Qnx7G6LT1
jH1qKCr8EzO4R7o5rEskNMtjmLGEuZTjdfsxGG6iRNyWAWyOQd3Yt+5DRYpYlxCN1agudAFfx8I0
aWXimD3VJvnh2PwwOCqgjQ5DUOBDD92npJOK0FIltxFv+ZBkdIbW1A04UuT3BnJu+0pF2OCXSTOE
8bpxCAFz4SrVglB+roCHvSFQAIXpRQDAMIIJs9w/9D09DNrUAboMXwq5amp3Zui7AijNonMy7IKw
C2jl50s+bLUedC5g4pPA5CSCXpg8HlKqeFW0dUD2lrAZvHwbMFtxs6V2Hv8fZWfWHKeybOFfRAQz
1Cv0oNmyZOnYeiEs24exoAoopl9/PyyfuMfaN+y4+2F3qNVqoIaszJVrLcNwg73ghy+9YdR1MsDC
C186e516cZxKkLL5LwvB+b1ftQ8AOAW7hI0KRcmL31GmcrFVgVCj9VqUfSStC1iT+4aQS1egvDVz
BWkqLeWwuiqh2PS4q6C0C/MoVVitaWs5ffsoJKBpe9BB17sPpMHt8PrnMfudd+FHcHds37f9wImI
4f9gy5k5i+mmbcvrQv3EIrBNbTNY9jJ7gZUsvTdZj8qt9b5pxrnbX0qAmP/vYDlOGJEcw9kDqfAJ
bb+v21i7w7gOYffaUhUQwyui1wZyt9rjGlx7WUDcH3LT119lFVDepT3ljRNcgKVZE82fgmi7R34o
UqAJ5dZM1z7E++5vnC3n/RpzfjL5IYvELjNMw/r3G128uVUChP91yNzQksdqHFRj7vU2lqpNZ71q
bs6K5MTvulXLbj3E9bZaj7NS2eUg+gaAEUqcvV7LQrdjlrTCDrMxNYFtNQ+hFPlGuuWJhZDoWtXq
tFf2Jhq+tS6zGVzyz/P/jmBIpAodOu9ipxJBRWGx/v5ArMxWT+2kXkh2gyqAbR4HLMUsM0L0qbNF
FqE9W9+iZ2N8fmd+hhPYGzG/WubRCzWZq/f3De2/j+LwY0hGAkAwyP4EknfLgmR9kFnRqRfVs4v0
0Rvq2L+Fy0Xr1RvMynCIbGq2Z1ks6xolAMGzLlIC/hw+5HrLrIteAg0+95YZwru4DPcEgRpdNuJc
m2Cfnm7wBEtonaJgelCUxtvzBtN5rhO7afZDq2T0maCuFQVveuSq23Msl4W584Jq5WXYbNDegwoG
IIkQ2J+/qpe8JMHQPy8vYgDQOYm7peIrOpIH7ry02j03GFUg6690QVqtTmLqnenR97ptvOmBf/uk
aWTvytTKM7lc5D6H65c2bjP/ebInh0UWxTl5xqTbjhTlz2vjfQhn9H/SMeJd1UFd9W5peNna5o5Q
zcvmyIEG0UJNqCBZd1VHW8TomUDx5yu+j0YuzAUbxcWelXJ2v7/i0NtDMUtv/uJtZl+McOD38OcO
Uc3hHU46CF+yyttYhLNrxiG/hUoSsU7/fBt7Ovtb9gBXBgCUgwu1Caqkf4h2gCU03XL5LP1Wjl4y
diawfnS60ESjooYTcIQN2JX3E+0sIo4qgg7wKR7diYI0iuZmSkY319dNFoePi9c38ZoMsxNOsMkt
u0x1QOl6zSKCt1fBNaMI96G27Zu9sFmH3VSQXVxmVT3uO39Cw/EB3UikUGvUvbdM5z8/8fu4BokZ
lYu7P/Uup/8HwbcOs6Kd9RA9Taa1SWKDvndJYqdtX7fwP3z/onDmhWW71MLjZYcc9lAXqn1Je6aa
3ewxW8L9TVeXm+wvSuV6e4jUlOvOSTeTGkpaw2vNrstmuefUzhpLdmfkaLbRnx/pnQQE2hfEaY5N
ohozCHPkXajWXiu3rmrdp3gsPPbWqPL9BkbLM/vW/bmPUUuv3FtWLPsWJ1buIaWHH1R/tQqHNN5Z
gv2tTtdD/bURVeRflHOzj4Ne5y68y/TCp0poyHzNmstwONVW1HsnBTXXG9KV84LH/cujvcsyeTTh
QFZ02CoQFsn3fg/a41I7UWO69cnLpz1Sjb1maW3NVnbfRjuuXZqlY6e358ht9/NRWh1gOxCEbGgr
bzJ0xvwkPMvMT2SpPcMxR5XH6oN+SDRpgZ1YYv7cqD26GcLmRemqmbA2kpFwwXLMbH6ixnIYCpn7
DMU4RoU1pgh9KrZEIdyKn97GZw+F9V8YT+/2KAIwBB6cX+hksFb5R6rrzJsfAhpanyYZdUSHt/TW
LeJlqlMqyyJv/xYW3h1H+yV9j8R+5zDayJbeHUfwfkkh1RJ9GgwMmq/jOo4sKM5+xsevlN8Fx2y2
umVIwsZbGfBmylpSFoIeozT3SzPeR+EQZ9UpG/2YYMCGnB56LC84AaTFxh+XloPq17TlcAIYyqWJ
W/YKu2ifDvDEfSLAfx1exFqJaafNdNxJUNecTXU47nXqn5cclN/fYyIPvx8CBAno/2RB7ysb0sHB
yu1l/VQUawgOjdjQU2k221l1F7qb369HXfShop+N4KQqAKp1qa/sxnhLkCiyHeu6z6Xl32ayiLxU
01bOv9llY1/MmfHDAz2Wrvnuw/vtH2QXSuyBNqeZP/gTTUEaC5BmdjkQ+eNgTvMcxNNdr4sMCDCU
tnRuPLt3xKFte+Gk1TKaHkB1ifUGGtpOvb8AKdcTm2Ha+nltksUKKr86Cdcx/mPYjKufp/bimNmc
lZgLB/LGmuXj5VhEZGZptDXztlHWshTV5VKvGa2zQVXhCUg29+CgWcv2CT6lWz4bv8mzg+ePrpOu
1KcdyHk+DoK+o0v3Bi1cfgEjdzzQV56360y0sM2d2SncEzq8uLCPqu6k/7QGU15bT6Kzl+XTMi7e
eGsNY2vt7OTIfIeaHPZPWzTlaEFU1znF8FGA09XnrATdOG2dH8suEXXnuUUa9dug41dHVnH7vXBV
Ny0HlsqqfwgzzrOd1g39zOqCzqMO4gN1QNCE50xadXgnnMiq6/MUKndoih9F3Hojo7w4Xtz7t/Bd
Jpb05vS0fD56oT2G9rFtfaWiSyOysmhu6PnUOj9WUz7O080cZHlZnjJfziZ4yFrX05dhBdUqPrFW
QrgxatpsjvVmiMtZJLnlh3o8FFm/VevlnA9WUZ7nEmJdh1Zp9gmwkypN8LmzTBgMlyyO2crS2SNt
ce6MIusSybh68RJ+aKBP8jK+vWmVZcPvIF34XG7rBl+/bkYLlyZj2Kvc3dsdVhSlaxXUBrFNC5+v
oSk07eeiTbuex8m9gEPl65KtoS3SKigAoz+sYOQquq8yq5qbU1R7lqsua7OiSvoQVl5QikQLsWMS
UT8GRf0cQdywtmvfbxDTHSEnE7Jvidq6CK4tL+uj5sYpdek091U1V3F2nCsCQQ7FyPG4d0LWfkvr
ZDXgsXZerKU+2KquetD80baC9rObuy3XkxW9ticD4QUhHXUwI0uPuuQESZ2w2L+E+ydlSbQWe07v
w67ZC4PCab3wROdkHzGvGWteuqEYrcdWRnvI96cxj6OUtmfHAgCtdkM61b3kc+rtUQvgdoZPV5BJ
Is6SIeNqTeFQZEKz3KfHUX7hBv9ymmUf59YXUGUPlrF6psKCrFn4P7SmoNHoWUoyrXSOHXgsCOaK
wFjMoG+0eR4rFDwt42UVW3cuzOY7y21cRfstl8y02h5DVhZX8PiVfs2sZV9gYW/tMx+sFu81Qu5D
M00OH+WIjfXMPUztwGXTX8/T956nXwHcCt4LFtWFj3XgZ8JL/VkAACUqKhzG4tfqybZB8JVRZe0P
l43rz8GAfM38/cpxBf2I/SdvCOpbqHC99fhrqK23j/9nkN8+B1Lg1reRqyQ34LRWMb3WZajK/lzS
1OGhNcg918pdLy/tRwrwvBNJ8DZR3TaNLDUqb9Pnl9BO1yxInBpBQPhBSNMxSvTeGj7iKjA2qPTC
g3uS1Pa6J725ROPAHo1yW7+KtxHsFDuIuPb2TIULSQ+9agfT0rlYofrzZ/bb1L4tjzCrG8Yn9Ev+
4hjQE+Qbl3AtWKe50++XKfwi5M2103ZUPNHF8c14xZN6+/C+LaTNrGjvjjzk/i1O2Q/8HaI9j9U1
jMV+628Dam3zxg9d43V+BLs2aOvqckN6t6hzviNa9nEuDU3VG3hAO/IxzMwvwjdXvzph3rJ8oJnK
/eH7iWT3wwCWvX+hO+0v/pTHvDStvW8HuQX7/bcmRET2ZJqcLvSpzWO+t9Cek3sX9bBGznhNV35f
K3RyxBidfw25qKae20FTW/MlnAAdF69UWXPOT47eQvuJzK2Kp4PS1tiWqT3kGRcPqgKHu8PYKLBN
SI47csM0FeYy6vJ9OxvOV96rVxNW8akmWVzWK9wdmqW7GP1ub6w1wm/klGRDDmwIL8zw+WLUAy8k
jUFzJ7Xh/6uk6fcS2LMDVKTB8pu7qR4zQIG5r7i6U+Td9BxC6qQKyNZtX/szZHJA4sXTLhEm7ovG
xMdGcsTK42Khdx8uA8FRtXyxw6Ui3uQNROT64hecjJCt6OEzFw317rfVH/BCulBVwXCcvZ97Rndx
w4AN2Vxn27NXoJUen7Q3F3N4AT9nf/RF5AND5Kllq3miGiJlcAw32yHKjT0c5fbgLGpfNeBV+xJ/
w09pj0P6Thzj7s87lqXLS88C5/O6BAq1krLZwJWF79atSIAs4E/desqhZX8IV2evYafADKyrN5Bl
c4Kmz06m1X3mXuaZhqyabG/QW4aEG9RQB34NXprRaQ1pZVM7telIc5s6VNbhvp9Gfy4B4fMaBtd4
8MKMHvrdsBJpqhO13j54pvR2qICecA0WXzVtzp/3K+pH9WUmPcusqzkb+r68E161g5Sd4bi7RWjm
heNHHxhrzY5LVllrcQpnFTTDAejCgfkcAQKFL36Of4JGNTQLJn+zIP9lp7CV+7Ehg2wfc5jmDovv
bSSrsQOJ9kq79KareYO+T790M7P12JNMgypsSovwhXjL+rJmtTEClW/vz5CpFjb0ifJyR6ka1Jw7
FiBkN6uXUKyFdl6RqIbNXRhqtWYn3+2G0fo30r5qyY6caF4TJEMD/m2lceNE/TOIJJqBT3gUVHm+
i769YnmYI3Ib/V1M5aTdL0MWA02c+9pMUqSWuw318+Yb14dowOmwUOw7TkdOGUWBMI5hlctKuOnE
mxY8rGimM7Ucfj3J21xqVQEQp0Hgrftj/Qw3UK/2+CfWfI8mZP/75oVuvH+i/YneZ5W7v4fBjMUn
VmwpeMk80Al5pHLfextlkym2ck62mN1t4+qoY8VG3XelkPtvfi1ZckoikYBKw6/e8PA9nFp52i9r
70WJ4/Z2fG8KBAFdMtvQLV78dcuEeznrdt/lubXtcOBAn4gXn7RsvNSbzfr2bfoPd+CW+53XJZ3G
l18XCnrBkaZZKtbjW8XWltUW1VDilfE/1m8Bq34DGnXs7GC0hXx3v8c+7H3/IHOpERMXOjTWo4Eb
zjOPM1286ap08z2NK/yFa0RTs9+W+bnhrK7mHEmywOybXLl7m/HQzsu+JqNsc2ta6sXQSnksqobd
eHobEHDgPejV+N3xvf7gWNV14XoN5PQ/l1fvCnqwHOIDK9gluIXOP2DlYqSHAF7tPhZdF3LXUZ4v
7IadDgDtzd93UDMBvBSoKvR+73++/F64/le3bL98uDdO7N0Kk+u/K2yRyXTWPERAVW+hsQID5i6o
A9hJf77UOwCd3WRjHMi1gKz4f7iX9f8lep7jWscZqeR/1ohdL5CgtMp86MOCnhUROSz2STVlxQwj
q/GZsl/B8c/38juEgFMO62cXtMe79pN17v5+L9nkucC3Vf4o6KqFL2Xg7Pn4MGAIetw6Uue/jfM/
L4jnCsBBGONJwly/Q1Rh+dj4xtjwZZeWgyKvOfEvo7UmzP3a2X9+wPcCbZ4Q7BaLB8dFHE076t0F
l6by83ZswodfEWMuth20X0NvDYLT4g/xdKpUtvUfzeyt1UGado/nXk9osIbN5zz6yx39vtIZc0qp
Xf/pRQKFJq2638d8FbY1R6unH5q3TTWT17HHF1PDbD2V8VQyBYVvVnamQOnCHWgLogyUfeVps6WT
prI/BdLrAo5yQguifq00H2d/ZM5duXrUk+n81s9Sb2H2zw/xfhqZOOScNr45QLLOP1yIOHf1CDVq
ukPYuUem7WcipIagNR9XKzb+XxSt/9f1gt0VZv8PleS7MYsgNTLBtrn7dewteaGrxO6IrF3SQ+f8
f0FrKHOdeHc9YmNgeovQ/F048OYMJHoqq7u3Y4kkeZ+NqG7YF+2AeOVvEuzf4w/4LIpMFupOSqFt
y8+/L4p53Zay34L6Imqtvg7SSMrIewl7NszftuA/L8XU7dY6SCUpMt8/m8xcuZo8zC/eUpEJZwpi
zeJqycufl8m73hrfDkND0IzfrYNFSGT9/bFaeyyyalHimw1n6j/byg3rPVXsPbmXk3M8Qa+ypd+7
0Hz7hk5H0pCKDunoIXV5qmabIPiX+3qjiPxvwMdsxmUIBMQdG933P0Wwtk2/KCqL4dxvrl0MRzdY
dpaEQSdvun8PW0ujPe0GWNuDSGS2UcUmY5CPDgowIaEG5WlXKxCpG9cHE7HvZRagvbhYyVmC7i5b
ytpZ1jRzaYV9GbSWlGc9usdWH2VjNndM7c4OB3mI+wAI8MbD3cQL78VbnxHvpsnyPmStdPRyW+fF
JKDymCksHbCaCgrJBQVQVMoDNFjFEvmVOEUWf1ZAu5z3JUrlEHOIhT/D61sJVP8czbmQLkcKJeue
nsyTa5Fod25M/dLu5MNHUr/QRHfe0OxJpvWWcymatsybrWIHSRj0TpQDSTv0okVWpqKmMrCj36AY
zXFeoLr9mWD9zOzo+M2M76bjPbmI9ATiRc1Th+4RNycuKWuqnenKpotS5hAj5UCdR5+hqZonj3Rc
eHfhCjFeXVYhgkdAimFC75qub/WhmNfB04eiNhI4GGQoovuBbG+Muyy18LuabZlo9MOBey+0UNF8
zHXoB/pTsGK6132iD7J32shNbTe8Q51Jc+NTqUDB8wPrHJrDqei141QIJkiG/71SEg/xVRAus/vi
BMs6xnfAeZn62Apk/u6xaqEbUqET0JYxxeeQHj+aopW5PcyLu5to2RaIyZSSMjpBnK7+ms03NZIL
OOG0yeeSKl/EPf3assCdwbebcUZUJuu1OGQ+hUCbyKiV/ecWRMgySfzWCvwVIzV9+jy8iSXnSXVC
UBVC0P2V/wHI7/nr2o77Yfi2NJqfWWobYXlBpi9g6qhk6u0Q66V+yLuI23BrNPFzbU3iE4dLFz+q
VljNSZYI4pMCQc5jsJZBdUARmJ1Lf/IuStvbLlE5TBcgLN1D1IcYrCEouIvKsYFK6U/9p4xFfeHn
AaRtdl/xWvWq+ZzbZXdYhIMDRtx4uJiBwKaz2wbXsbJfuprt2M4qvAnnUh0ivyiYXdvqT3C5/WPV
lebDVjX4DVAtjMd4tb2GFRvKb4Uyjy46kGsctPJrOQ3jMRiAxiHI5BdTZ8ShEHP8MVKFhm+gyu/l
gIayKVQOFbxtD0Em9FW8ufKEUJHudKsCFFR1vLYYpbTRaeYrL2PqxFdY6OYMHyP7rgUiz3pxGry2
RBWghrC7R4W/35Y0QEdDArU7f5qXLf7aWC1UZc/IT3PslkfbHe0r30ahnHTYn934wIenfhxQY1ZR
9hFQs4RHNXriu0MLijrLUc7D5FZFeUKybB2dQY4Pw+QDhBAKDsO6mCtv6Nc6CeQcpwh8syL+XE6u
WC9hRphvg+tXzrEzCml5jkxqTSY8JH7EYxDJg5VZ/ZUU0CQOvjNWH5fJq6nfZHcdDCPC2Swuuq92
NaibJfLt6yF09hWKnI3ebj7NVwtp9q0d1dMlqLx1VeJA4x5iot93Z569Ntm2GG+TEb7jl1np+Ye2
rCV1S2f7iuS5c2E6KGiN2zawcosGLQNMrh7x+jbXy1Vo8NhLbEeVd6sTEYgp9dJp9hrvCgPMRl31
i+5PrjLuddDIJQGBfg7m9RueeNmd77B9psGMByBPG3u+RU7RIVg77+hHY3unCr//sqqFXNGm7Z4P
ianhZqBDKfNAJZbx/K90zLvEc5v2jFbFS1xbjh8XXAY/DgXk8rQex/xJF6v+3C9KuolezJLigKSq
pOL+6ATHYIFsvKXYUn+J53vhDgVc6G1CkiHVltB8ks94nWs0HJPzUdDcuFRuH6cGjd2VX7b+1yEO
l5uKPsREO8Q3XDQbk8xYmkrZ5DdhbOE92Di1+NpbJFuHmLwRhUc16PtwDusTgR43DFFu0cXodMU9
/CE4J3PRP7ldq7AFXJxzpabwK5r9p5n6/WnTcovP6EZxOdIy/7EyIOcCQYM5kp6uj3jXBUg2fE0n
uc7RqhcT2jJRq7MmP3aSPBrEk8BF4dVblPcJxWn3Om14wBgWOGqHzr31ITzA6Q7dg170+Ejea0H/
bqcbC8n/y2Z37dlrUDCmLTD3HRZ2PmfZQkSyqzIGp0JheRHRMErV0FbnOjD9E5wzj/uf3CsE5d6p
Cr3hC3ihvhdtgaPR2ohHKfvtOh8qBOARIZfyXJZ3rW+PV73x5/sWVf+nHjuKb149ERxcvU53/irZ
PGBtHxxvNNdLH82X5byghu5M3J4zRGUHynaYn8Ax4nKz+uwmy4r+4+bGxVMMpPNFbzF66bzIL9hs
0e3mWCPcqrA8NSILbui8O146SgwGYxSlHuu9b09bbnX3Na2B+3zplE5hrNinfq70FzUaP6fo37Yb
/ELNNQSqGtRCdp9ybxOSmC2XoxfV8YVDLzKd1OZ/iKfco2PQW9+tzIUbd7MGWJ+JdJULOTiaXqD2
+KYOvCkajzb27g08eKGym9lS+T3oD15h/to+N2P/lb/JAaBL53mQZDCViaq7RVTQQlG0l1eiU+6L
sTIzp00x23jCROapdKdJnwu38fxUFE507WddH5+ELVtxJYtYHegvYyEw0Yc/4OEno6TaRjEl0sva
u86Ch3CNl0LEWIf2PPY3Wkw0oJyld+bL1tfyg7f41seoFaVKw6UvumMhVP9Q5eUkj7Si1+JalnVX
Hqy+DWBqZpljnVGUDtvDGmMoW5z31MM+CL10TVczah0anKsarKBvUicic0kDabLpFhQHnZVnnPzT
HG3disS5CW+gEWYIOxxSxOsRgGB8Dkqq0p440qsxQK5p50gZs4tpDKOrwF3stvq0eWvmIlpftC3M
Fe7E2r6McXhYz7rBnOJQTENgHoWV1xXMoLwRfdJbqNbq1PLF8lh6sHkSt/Cbj93qWNt5pgDGqxKZ
t32D5heZotvTX7iNGsLpAeLeduhA3K4qd8Tywonqq9FalwEl1mqFYkNxJ1tcVQ7gR7Le2WPKDeSH
cfSreDysYRU26JPM0LEfYtquqXFWVx59xzTFTV3QNU5kC/ycbuOikcPKlYZUZKr6AjOMoDvmczDf
1iXw7aFayuXCw04sPoSxXSD5CaveuazzXtEmNUG0Ju5MVz4c3fHOCsQSpbLKfMyafURm6QqW+Owo
q/8+CVITr1fYM3Rd5njHfCpc46akcIXVpXAGoMjNSVSED6vldxGJmYnXskmJpCMf6GyrXMpvBCEc
P4+FwscxyLWD6R8aRScqjspduiC4dawpNE80mWV2UenY/5pP0wsykPwpL9RLLlRQJZQJ8nGGc3LM
4qw/2xweNkEi7GnLRdt1s7rNXe+V5jQVPQIorTaVRNBHVSJlIB/7tgkPfY+1nIlLn/g6jfLbmGfb
KeowCtNox27pfMZ26izDrA8bh41/L4bCe8TPq+9xsACDYj2wYBJ4evN3p1P1R6XbIT4O6Nxvhq7t
kEwOI2YkCx5Kl6DZORZJchGXsqv0wW11c6p1Fjy2te0cxVh013WGd4xbL/61q2imdvlAU11QFh1c
N8PX3kTmvC2ui5VZxCF8sMWkh6Nywu4OXuM8Xqp+zhKBXwg60TrHey4cJpUIR2ZwWyFqmssh5OGO
K+D745bxL+Vk9OP1bn03HXo2Je6Ha93fccpz+Jdhjb61Ir/gFrIHTh0sUCIRpqZVxXNV5s4LiOBy
gkwkzp0t5ClSUXVvIYVOJxkWn+1WPjUVDLWcwu0UYZL2pZvdsUvwlOm+eHbWXxnXy5Bt9UsVpyWg
7RX2Kjx0boO8l8uUUoR7HyrKkqsJ75tvdeFFL3WWO5+xeJtvJjrKh0Dp7tIDyn6mKeDWe0xbVIIg
W9+GWEqTtxIc90Xof/NRUqKtbeV+ai/u8NqhOy2PmPfQoAXk7sLLNmjLLh36chnpgW0dIGY0V07q
NcSRJLTKKrht1OC+Fth+4MHRcA9JhaorTmu+FycCTETwTVHBpcTGJzpQwk+o/iyO7yv8G8Z/Kaq2
Iq2V59kvHLwzDjpWPE8X1liHh1FV1kWpA/dp5zOcHJxBDIpDBMlIRatXM+HSS0SyllNnMlhaXRZ4
N7QU+2u1QnZJUP25/c0yGPVau+NS7hYyJLbl1CzfRgxJ+jObkjrNoFL0v09006aETuF0bKvJuwI8
x6RrLpeNZB466w/Uc1N2klExXvtYhVDLko6MhybTVnC0tISLbG9T8DwOTfMlUtOS1oM3HBrb0vad
mSPnka5fLGArkcMl4TgXzXkmqboi+rXzcdEFlkd6EaSesEus7s4rZizNDIpTTEmkHagjWnGUDzBl
WESpX8ii8uvplE8hLR5Z7xrmMUPAThmLzBJppktO7bXZ9rkdTFt/cDtnHg5UFVlNSBPYN6u0d0ze
rGfLdqvW/xAaL4uT2tGl97XBXcxq0wlJYpWdaOTVi31bF13YiZRqe/ExiNwKOeCdwYEbrIeCvlrc
JAaWub8eWpyMZH29xlh42OlgKMDUfTOBWuEQDP1cmFNvlC4/5zluVPlhZqvQ3kEl5LUIQ7E+CcdT
Tq7WXprCWPLfgx6WKTgW8LJkeww0PcDHzHbpCZ0VBK6xPfSrb9nVfWVUzTz4FjQuU8GwpjcxQb/n
8X9IS0Q24zhU7XrAR2oJPgd94BaPbyCypfZGyNhgK/houU62qGv+JYudUgCPYe/PsA+36HvuZ/YS
nuF7b+w37Qyi/GLUXFiYW8UAcBaVbVbNIUcE4Xh8NgWAQnwzklAud3Yl7NVPTT4YXZ83um7MFkde
1VWvHgLBSR4whjZre+0ZHm9L+AfHXHdIIeN4Mnv0xkCV+BhBoC29K9sYvXbwo8qRHIfaIdcndJIV
8dgau0MNO+rWhWRG6q4EEXMVWBuNsX8ux0iuqwIdnkB4yxSql8FO6Zi3i182R4Xfd4eLUN928c1G
6hcfM6sJM7pzUyYwv3B8LfxjtG6ef6YfKZ9VbJonC9bPmLgdorjEN+ydIywY+d1ua7IsWPlFXx+7
cBCYCPbwZ5ZkczVN0S0060/2/5XAz+U+gLV7AT5d3nR25qW1G5rbyllXeVSehEQ2CRrUymoeK7HM
0aUmhYsSr1UrtlvtXLfnfrRhVy6xmnHOsqf6u0J2XxNad/0n2mgMC0dvWx+G0poXEgSrOZKBUiHi
QR8EZwxMR3nIZLy84kOyrCpx8lk7D3FdIvPl39lrv/U2jfVkqCZKg3azJqqRvnKKI+lEP1yYIqin
77mFpayVklG7bbrVRX5CP4a7wEkaJ4Y05Gqxq9h93Ih8LHEunKGLvjR4IgBYRpmLqw+AYhlQoUbr
cCexMjUH1w7M+BlKBnSOpFew/1K4JnoiQXJc+E6AW3c5lbdMfE0efrvQCFxwv6mjY1SHzZWVDx0U
exMg+oDzpySUEnc1wyFuA0GrzBqLM3oKJiZacivx4PxdaNXoKjUAZq8bRArWRiY+GsvueM5N4amk
lvuVyT74IovFsYLz8cOCVAV4WKn8xiIMDy8Ul3PxMapkv2dduI1fkMGEV70fBeUrIdJbz97kVw8Y
WWe30Dfz73nvMPKYNyzQ6DIDMrJtJT4HpT0/xUtg7ue+KXgE5HV0rSPZEU0jiYiiDsSDA3wYHUTV
zThyTz4+5XB2/jV7PvrGoB78C1wy8CCZ++ARu9TuNLqt/TnsBwdzcviReOBsKAeGbU3QZa13aD3d
8uCaASf1pGkh7otyEtNlHvaw5oZ2g6aaZ/PC7Ypmp2xQDaeqjVb3ROeK/i+GxeVwyCdvIvSi5QaF
GfFoRYOdD5qkAIezW88oc5Pj/hcf7CBX0QmChvof9s5jSW5r7bLv0nMw4M2gJzBpq7K84wRRdPD+
AAfA0/8LFNWX5N/SbUUPOqLjDsQISayqrEwA5zN7r/0oZ0eghhY1vyUqBecjaDx4VBUF+E2nbBXv
QFZS7VNTL5lvF7GHTKboshSWnJujCGNccrtWTAD81W5bOyomhH+hoVZZtHYzX5NYyPyQs1RwLoz2
mxzSGiT9MAdSWMubw9NiOs+i7tuw7CaYXnibR36cZXU0BBlToEpvro0y1s9uWhYO8qUYtFOvxR5s
olT/tJRZcZqVdrhFQ5gHaNP0d9w6Y83+w/GWILMG6BGONLMlHOWSD37ZuyKOxjRzS56/vVGec01f
rJ2wpfUMZqKdL0yuCoNhQFMRINBW2gavSha/QiByaVC+qJEjrYWmwNNxW8AksKqo0nKs5dbcy4Bz
k6qO+jxMjb5zt/fNvpGGZAxt6E18ccvKeO1QfyT+NJZvBqSF1x5umJ8SEXfvoPREwJVMXPJl/5Yo
Uk2orWYlUKg8rvsR29HA3AUy0agc+5ybesMSOjdiFM1JWB0elN4prpgLOAclVt1nJsaZw2WQ2J9a
fTWi2VSH+6lf9GMxAN6CqurKrVpTKyQ9NSMeZxjcwwB32Q5XT6FwqvD8gwPRp/IeF28W9gy3wp5L
3YTgaI0R5Yt2rpcG9EIutdc0XuZXaBea3w6jiqXTKqLKLeNvyJ3V0LRM8eRS7u81M9Y+NSjjX1W+
xIL8wRuHFeEVL5B7PSM+2LeT4K5zx3eE0+K2HdUl9l0B5Yn7YL31EgWoRK9BveI86GvajMEIXQfR
DF99JTu9f8kZdoTuTKPSkbYD9yzVmmfFLc2HPMWzH0CrVI5tW2us6FCAFobxeRmZ/vdR0TIP6j9x
QBUVKCIXn43zSkfbVO19bw6Nad0IQIY85QeCqdBM9R2+bMQL85JXHbsGFqHNjbkg8Vn2UsdDoodG
o84ihRqXVvl6RGC+iKc4m6X12arNpjjkjVsJM4hBZwoldCfLlD0PrwKVDbs2dBu5p2W2GiII1FbK
RlddsqAv7F6dj+MyM8X0bX2G7WPW0v1o17XgodK1wHtKnmNWqlohdR76iVBZ7CRBaAMXfEImTRmP
2mvBo81Ng7zetJCopm3zVQXJ7gwhi1YEhNHQyqUAA7FmSYGKqU3iTdzONdixBknyZFW7u8lwBS1M
Zsx23z83roynPGRB7NL3YWXK5vyS580wNuEgbaC8kdoaQKA+jcU6aYvPd9kA8LIxKcn8tU15Mhxi
7JuQgZlYb7+JaSeqV+7TZJ6c7mVUklWHixi7Bf8Pjb5jz2dADDTM53wZ4tIGUETmwbT7+/Xcrxty
toYoQFRWh5uTlwXs7yhXRmWuUHEvfK2advM2TX9oXAyr7lmUD05qjkjSJnUGV59mOSu6f/MCfl03
by8AoQDmXRisbAlZCv26tsysBW9Ukjlfij9eAOiLTXlSFUB6KLsb9mJ/bEr/Ec3hryAMPzMY/q+Q
D//vaA6/BLv9QnPAl8TH/9c8hy1X8fS1H74u/5sv+4FzcIwPHks5B3I6SRR/JIf9CBUj8NHiv/Ap
IrpBg8cn/QPnYIJzYG6FjdXy2INz4/0vooMB0YFvB1HfY3Gsqayt/0RW/IAT/F2mGEIaLpefds0m
Bk7mGa5GSBn+PhxLv15OOvpIwC9Wf6BDyYyg7llJwX/sizOttXWe1b6bHhJriE+NmqFTxeUs7tJW
map9QQkNRq2fwCGmhZdRY44GE/2eZqFlYpsksZndedOg7p2CeXCC6DFYZ0VekgKTaKgxvXycWZu9
2vX0XmoL5O+yeiRBynoQRbPesb59bFpGLRRIhek3GFsG1HXOwH4+X69HudHq3NzV7jEn4wNshfrq
FRrzO0XJ9Pua0v00MH6K4NYyKGz5Qmk7SmQiKb5g9R5CjQToexRmSlQNivdt0HvwN21jzLibq7U/
JhP1pb+Zld+NSRPRysY9WLeUnO9vVMHKOOyd9BOffxYoysBXS23qj1bRs3lwgXlA0qxGUnNyM3B4
4IEstjAIMaFqocpiKK68lylfuySoS1d9dSqxXtvt5AWW7q0HAEvrQcihP07KyE/XSE3ya5SeuyET
XiCzxhhZsXm95ZsoXhndD8Z6QHc8VqHeJsrbOBrWgyvyqvLpxLWr3h1odSSBCM/QluC+gvLVOHkZ
1Ph043y3ErPujduWyjfYMF4wG118KtI5/aKUw3xpcfXtv7++YXtVXNlsinP+POql4MPA1DcBYnZq
uVP7sd6PwIKDxm3XXdbwJg/uItBKTmPqOyLTrxJXGxkpj6Io5JVNalF6iNkArQc4Z7j0Usspsr2B
g4VTOqYJBlxYnFazOeIYAsku8mncAezUX1uFTL+d1i6uuudSWQ+jqLgW3LY45eMwhPz0DF7gAK+c
/sB6gJ5ZYjs2yoe07ZfXrk2BttaG95ivk7tLDZ1cAWQRxqm2xuQcd2ZKSYHLi0csfo+WD9u1gQv7
hbDA/2/pGTlaqMha9aHeI+Qz/cLqhPRtT9j+nLfr21pLGJvm4O3LUje+MeKW+LP6CguQZqxA8BM9
z4qdlyNLuRRlw/fyxpJmCMWh1AOTXiaD/943jGUF0rT7uPKWa2z42OmQGoWrUOPrCjorVWgi3b2G
BWhHP2M8o+Eu9rSeSuMzG2M7M4Pbc/cF6s0H0ZivlijHq8pSX2qXGiZYpk5iex1XZY2moryumNyK
YEAWif5rjQNMf20wqkV9SqAM637GyOtmXcvmdrDX6m5QkIVLWutbKzO105igtUZ+DKcatc9hJS4l
Ao+xnlKzA/dV6NIIZGkZTzNODBa/QGXpqm1u1FmOvjkU3Bh6nXFRybjY1WKaIxK42GpjbIOzLAeF
/Z4xXI+Gl9/MrlGca0Vat6hh9GhKJ7FNcwd1xA5RxrnvKp55VXpdhgh4Vp1XDLTZNXKq5PPS5zm8
nubYL3z0aws/u7YNJu45q0ZG4ojdawxoqgMF2uOmV/J+rg8JK8iHzlPbHKEKzTr4QwOWXVGvT7O1
4LLJu/RCC9SfVrWlALVZ2eidgwUIXXFDtFoCXzSqKfGRM5TCDHXQK5Ex1iwfJQ8KDVSapO6z7eWM
eqO5S+d1ePH4/Y2jGa9zfmyrZqvT1oRpb5yntAv2uPoFQk7BEgNGta92EDDX1IGm6dTAL/tSTx9t
bCErLO6+CBi15OdJwIENph7sGWoocOuG3Q5B703zPmXhE8ilem8o86I+o4No4s65QOOB3QyeChqY
Dq7Xk2hk+BGlaGGJr/1t7xbFyalpPhvJw1y3J55Kgz3Gb9+fLB2jxW/eXBWnsuEO1bWVOJ3vd1Fr
89CaGbg+97JiscJgQPUnHde17yycMH1j1/s54fHc1qVucjtI/V6zth8kUiiigLh4JShy12upSmb0
ZPZ49YXTfrkM/eZvbnDwR0ww1+seBer5ew3wj8ql/4/hV39ZLlHLICf+62opeIdpxFQ3Q+/4L/TV
H1/1o1jSNPODZrjELW1Umi2k/E/2laIRpmpSq2zO3u8EAu1f1ZJOzjySN5d6CIyRtpXEiNy+h7NC
zDL4ho6ruohakbb+k2rpN8kgU0KISjqeARTJKg5vc6vNf5JHE+DHChtc7aWWBmQayeDAbwyca+DX
5XRnK9ZyyuepLiJVLcQbT9fpiUy9GRm+V3cvP717P2q5n0FTWy36c+m2vRoTvtPWEajoGG3ekZ9f
jVkvG2J6nC56V2vUVCupAaPTsP+YJ4GRbJLm+OZMLWc7J7zogMP1dM743ByTYYNTf/GEgEzqpSlz
wLLUnjjDXG2/2Fb8VcNmN/+b1kX/Td75/RVjVEZfjaFAdX9PtDEzNjn4QMQFI2lCTBp22KfJpMne
CWdp4PguswZM2WFlwEnBJGkpVGNfMbbQ2KABaUznYdAACbfADkXWMDyuUhVpUW8VOMyaPL0tRhbx
zIOHkBraex7S7ox1FhIoeDD7mkxECte//xz++8dAR6Y6fBA21wau918/BmdRmPe25XCBF+M9N9Q0
um8WOpdGW0M2lnPvPbSxVr7+/Y/9tQ+kaKc/QN1MojzXIn9sL+una5HdYGK2Q1JfanfVLhgDxwt6
R6yWcfr89z9p6yh/ahG+/yR6GLpe+nLiPX67zoAKL2uHFOGCus18xxnel3uSmBbdL9o04nwB5mmo
i0upa1iy+ncXzdaB/PrjuVB0C6KZaYOe+/3H0x5l9NsIXJyusCAMjdY79RGvAbfqEDEvbQD68tHv
ZdlJtEtF43xl4YLR2FvMq9lmZRIYMkcMkSNIfGLJrhth6i7LV7qYNlQVVBqBhWKpP1iGvY7/Tmf8
3z8oNOg8NlBPQ0RgdPDrB6Xao1VbVqxca2NcvWfMGRNfUwpRm76xAHE5yTQrPuFNRJq2dni4mIFk
AVNb55tw1rUJFnKJmFjl09cM58+XCailc/r7jxhp/+/vMvAELiJiGaG7cHdugIGfLie7dzMVG59x
nZvYPTw3JDtm3W+2dm8nJkoIhmvq3VSR5gYcLXXY89V7+qV2X5otQJ2yq+5bIH6z75QyeZE5JNll
YA7VWl37hKzIDWOMScHY5IRhsFxikhznQ32RLeG2ncKIMkk0Lwc+irI40Ke0OiA/Ke/1PLlNkBPN
fjk63YUcmEehV4oR2hM5LRr1CM8Gc1wJ0pFuflWmlvsWqyy7U9vVrlamRTRKasrQj4suOypuzyxZ
Lu4aatJSwjWfP7cD0q0RVxSD9ko4u3joRuorXX/sUnCH+9hRtMxf0yL+5MExYONbd8rHsUJ22LKt
PmL7a48asYtfsqklCoWlUvGQefHs+BOjtlMf90Qe8D4w/NS9G+QVc8SIr9tp2qxNUYlDBH2TxPMd
THoa04saPUtk7yaN0dWFuNfEgaNGl8BHaW5d4ZSvc6WmZ7332geLBd4eArdC/oBdEUJoN300qHO+
7qbCTXYKM8h3lAjyG4rx1grQd1MQ14k+JbtZ5A03h5T0/NPo7vomTsNSGERo8Ffx+pg9aXoTgkMy
GfJcocUHPuw0FiEopijjwBBKXbHfKqLExBVyJw3NDLOhR1yccyWJnSGI2SMG05mvCKgFkXw3yk7Q
jyJeQRv0JY1TXV/fBqnM267F63mUN5/1pcqFASJZjGOrXkQhkGCzy+vWPWpzESPbzVBu5joIXRUI
1jFfDPC1I58ByTnIkNg3pUjBwjqOOQ9FWcguAhuVqNS/AtJr2hHZ3hyKxZFpuMylJ67oOQ2uKBkT
qSeDkbNwZytpHt9M3Dp2EnRuy5pEM6Be7eoy6z2fGSUbKrLJMhtWtUcykE/YDhGtDbm6VZB6ANx2
snTKKhpiqoKdVSfVGrjk9K60NQUiyCrtlRJ155IMtywPsbg1SeZ+g3vuZGqoNjqxs6Y7uhcLwVR8
qg1HOFYe1PPQrcthUHm6oe1JUgeX4jCt3c7rhzrbLaVdLQd1GKqWSQL7ksChISn3xExmSsDHqr8o
bUXCCdvzogr5R1XgWKsK4lEBJJeBgVcdjd4TZVTgf7tfR2GgRWTzqJ1TmQ5A/Z1UT8U+7qe2fuAw
Nk4MgvViN7a8ArI9yi1BQ5tX5re0zvK6cpEbE5pCD4KQXRtPPZDTMkxiIxmJ+5z4ODOHfs+vQViu
X5nJezZyE4EUB1oLlHdNzcwDg8/CDtB6dwZNfUaCzBiDOWZf0XrgHCRjFiKI85W9Tb4qZzUuTcYC
kIt5uZ7TRhoMuuZIfpMkOcgzU+hQ/D1fg65ec/kkeJNm0oxXH3mH8rFnvbFgHOY+0i8aQUN4C1yS
D4zHpZT6eLFbD5B+zRrg2hprjqQEhwhf4KE5MHawNbT6jT6mTk8dHvJ5N0hrzc7gfcSjmevWOwk5
7I9djYsXnzG2gIgeOuPFY4TEPmHANQqYpEcZbIm3UkoqizzJpwem3PJT26cGQhJJkI0LLBNJmxvz
fayygS5S95N2QapjmHeDsLRHTSDIYPoFwCQQMBnmCCd7TooMiieUhw4r3huSn7znWu22izPPIRY7
Jdktt7DChRuoneSzSWXNC2uQqGpnTjDvmV0EV3fFU7IPGTLCmhaDF+u3eY8I+V53yUI5zmYux2sx
i634JPToltBXm/gXWfGjacVWtBQ6gy90tM72y28vXfJ84nWxh7sw5OO3GDuMyIwZm2INvGLi1mnL
pMjuatAbaMwA678n/D+eqbqo05tOMxdWQ0ZL/uoxBe4zXpOHxJo1U8cOVdU2kY0YdWA74N/RAPIb
8QBBU7LVyaKunlGZeCcMb5nrQ68ouC4Q673LGskE0o98uTfErA7nhDI3PzctNqwHl9NiP9Sqdum8
pHsDpmZ3GyEh00+Nm3jjGVoeK76ldzq0YPjs9q3O27opHZfPRVlYt/M4sAXvIF8WL9KukuGAuqz6
hjt/e4ZkHQhx+gDXiDLE+8OuZYD4opBIScRYm7BtN3nMLb1MyesQwxkJT26Flt7r2IZLy+Q4SnXv
uYfKmESlXnObrEpseEezbrTua8UDeTm5GpdUhDCYayS30KPsUKhMEYeM7M5aP+p2EHulmDhpjUml
9O7yjwwKvEdloUw/rZ7otS+4AJYBJq/mTIiMdb7VXGmbdlxi7jqSdYNoTGG/BQUHHv31vDhoL6ah
811nOJgVO6DDKjdPCPK9Yd230Pub69qezStFoG+IUvJkpnMCxiUNXGuo0kcqkeGLit2HSYqTDZNf
pIwofU9ObscpsHQPJXrI7FVrVsOdfLTLxfLUCqSnfDP00lEKRCc5KXErP6WJqkygMwa7OGaY4+7m
QYnXfY/kMIuydeQizXSRG7dzUa7WpbKJqGPfNqn2tamlGDYWqpshksgwcTC5NYkO7GUrnh3DUEba
bMx9OJXol/crBCReqjknTrjEaDaCuEVF+MKmWXvM0w07z0nnPXOtV8Nt7dUQU0e99YAHwLsHPjW+
QYeRruYXxeQ8WQgfZSixgpko00sYVl0M1ZLDnSs6aslF6HY0Dst8lRlM2K+cvk2NW0S8pX0E1YQ8
JyPNLrkueoUElWpADeVTjY3iuixjXn8PjmE3pG6RbvMz9bh0Jvf9YuP2gpCXOtffq9L/TFIel/br
//wffzlJARm38fD+epRyLEtUAdnw8yDlxxf9mKS4zgd2lKwHNWB0KO+2mciPtZOnfWCSYeMq92jE
re/93J97J8YlUDOIMMKNxYswaSr/nKSAJQc3hBvRs4mIZUDzTyYpDCp+7TfYnur0rhY9OAN37Ma/
ta+ZncES04b0NHcaV49saf/hddrntnOoQhgEmOEmPnpoi47Aoy1qNA7UybUI3h2g5x16hLdx4Dal
fVpXx4yjcmpWgBuqOt8hW6vMvZbTm98VQIpeOvgIFmJ4g2XSwm6Yh4Q+8AhjvginAuOZ7o+VuppE
q402eBlqQ39AbHBctVWYrFwaL1ox2PbRBKoipWRuyKwb4nZCzqN0n7x8cT67qIdCgYojYiOOZYjb
X8AYxNVnhei9TP3K00UaDl5lX0uTBIdqGu8HAsp2zkCmsr+Uk4ri1tayhzbPl7s5VcUFtFJ1X+Xk
o0QQ0BVyZdzNPlJbaoLIJG/vS6udSPDhwU9W0nJIpO2d9LanzEjd/ZzpPelSTdZQe1oUTkPK1F1I
vdDC2SIqxRSO/lJ6WOcyoFIPmk4cppeaHxNyjW6sZgHZthrG7ajn7KAakO6ppt+mNkoQouCA9CwZ
+w2Uc7eGowANqeU9xBksBmUJQKadnfQzMT/t3nQIfewJeDhrVYXu2Z47xCgAuoHCZsn1MA7mRaY1
RjgxruOVKqNOb3Cqtn31LZ9sj07GZOllEWef9M5wr9veZyuOm1CLSbuhTMdJyqjHJ+vkxTMVXIFO
VVMhWCibwQw7VHcPeT8Y98bszWcDh+UtIXjdXVtg6dON9N1qbBnSLJ7LTXiKDYflHLF9Psg85W5q
5uqBWXkV1AVzHt0oaCl4RzgIizvMkEj752IMqEeHp2JeY/YW+nxZYIOE7WzpkWbxShXgsKE6xcnj
6jpK5ZdYLscgrxuPb5vnPYKIVjsbNCanRR2/lPz9mwRW3Z0z1Rz7ZEV69w5igztXR1YMwyWP/S1y
80I5KkAyT8q+gEO0X5WxvscIpqPJH8UVXYZ5XjA8tL1BKcxlf93Mxvo29ejkIkWI9GTmqRYSrld2
vsGaKezYxu3HPKZ17MazDX0I7ql9PXE+k6Vi15x1jZtT1s/KwaiZs7PTJLZrRnLkjzFYSXsVzwre
yxRXCtHB6i7GKDPRkw1d/brIMb9Njf5GEWQFLT3cvdK81zq1jGq3/Ty0jnOs8uYZ0gsR8Qj9KozX
O1IzxBJUGQY5wJdBvX1SyxeMKAxgNdH666i+mKPH8mvx4kMrJ+Vaup4XxWObhLlqvvEwHG70tpp3
yoDEriwSi+NrMJ9NW5EEcLJFqeKe7BND57ZSTk6ckguW6W9kXXXR6FT9Hma7fsyHEzTpK1EhUeoE
pska51U8cP7ZHh4ZswqrOefUl222K7D6IgzLh3sq8/Kuda3kSCA84uu1MI6wKOa7ai7XfS0KYlnb
lnqgmKkh+omcIEOyizLjAjPOIO+kieiXmexBAXJ7kZQZtBsA3kypPrAQNksv7LRez2+x6RrVFWiS
S9W7n5oO6qVtryw2DbS5pl4X5Nhl8e1iuNkNUJV3QIDmEf0YQX2Z9s5q18K0iQ7p49DzK5Nt2IZY
XvVzUtbVjjEdl7SalFgQzJKgyLS8XXjs+unM846hHLAQp14+rqPHrjLm+czkSFxly7x89JaZOqjK
VDZm/fxQq9TGCT6Um4YcHobVXjm2t4kVa0cD4fNAaWw6rV9a1JjDmjdHJNhky6E+KEOqbe9e5M63
tlFlkOgzgb+pW5KE5tIo+YotXL/FE4K72swqLCIBhGAc4MicFVT/LKtcXWCSTQnz4eFOZO48Pqfg
pDXzsEz1dwF9OnK2KN3nQskBRKZmTkDxnErdvil6POF+3szuoRjdfL2azd6+mzmwH4yezRjbNy69
Yy8m63UAd3ZK14pimOWB9Ulw9WeBRqOZBpoSOyYtWevcd0Te6nTFan9qdNWlW0TUK7y8xmnXiSP6
++QGFlf5AFEd7Sf8D2fPNIoL11tl+kaI9UA/Z1YHjaSWdxd6BFwAl5VmkCzCBIHYM79yzJbEz1WO
8XFqXe4PY5qQx8+rctfyaP+GpBqLCmsPeS0wlN0uYBfUkDH83FMu1/gIcwscFWqIdXxBRt29d72a
vXEmJzVzs/Ea7UF1g2jE+0bIwYjmtYyNewC304tCnXypVOfoaHb5taoM+4sFL5Q5YGp0IzruqYwS
UniPFrK0iqdtMFA/LOGCbrPCWsu7yDgpdZ/HabGuSnsov2CEyeNTNerIUEHqyTuW9PYz54gXYd1K
duOy6PhyHKeNAw25SXLEdTJ/LrLMM3kYJfEzYczT7YyllqtySZXbLLeH1teNqn8j6LW4GGWbINaE
BesEuletRw95/RdTdMU9MvCHkoka+HGWLsdCY4bCBJ6bFQ9Kd7N2qCYC2g+40jq5v1W0AFK/brHK
vGHrlV8xI3cfXZM0slrJccMpiZd4/twtyqnX8umWbGhkJ5ihlc+mugw3tLJYRwxyAw+jQ8jmwYFW
9dFL5hpn/hqPx1YThgzzLO8W9MZV/tJhvTJ9tzHEfW5uWmcFJcfFFm155J4jh2jU1XbB1s9uilfu
RYbTq2+xJ2IzqjOwP6E2KYwVSzO7R56v7tFTO5hYxxpLiWvmex7PuYsYZ6oCo9Cdq0WK7qQxKkIC
aarhMiEBL1mZMA5u2TRDIo06FYEvQZ642lPmAj5R73faOIhwYEl4VSrsh4mibkQ4O3l7ZElFA1+V
df9W9Llw/CwZ2f2Ab29eC2IZ6kiQZ4XfGIL1V9K2jetYlW1o6PYnM0m9Jyet2VmjTt8Z6SaX5REf
M3WcikYJiMfmiQgXQT1mQNavvdV0Pk5WXx7atF2SQE+sFUizsRifHNmnZ4Ej7xkXGSJrtzJm0+/6
afDrRofkBWBsQEk+4lMlB25B0x93EziCVHtH0E3SXW1hrDNjcWd5giFTDqj9bVwpIKNElSPXkjqA
R6gd7YvX6R2mu8pOlJPb5PEr+cT10wLBeNgZdTqfx2Fc9lOOCDpce4YWcFiKY54UtypN6WtXO5dk
mcImraYA7xWt54iaHzDFnSk8LEMOuIgEcGYWkn2h35CXpjB8Spx9Z1NY+FY/mZ88Z9Vt30R29cze
B/8izi0CSjXFQJ+lDZlKGGCSXAahr5Ek2P6oI0bewyISqCaMcjeq6nilKWlkj331Nc115JDgI52v
ds7yjUlnnYaFLfqnxHLiT7bZxLupUYHK8mmuQ4D6drxO9bk4JpRZRB3HFr7CrE/IOsbWk39p8eXV
NKL80SppyaPFkNcIEtKXMp7LxwxLyF7NLKIFtHi86lscvVzgtnsueuhwiUqNWMkESgKR6EzJuvHg
Zh6C+VpPitcBmnXvp7FEapBmFpLxttXtqIvX9VwoWnuSxIRd8RuWkFWy7HO8ZgLChBCEB3f4pjyj
PnYlvGG9WF/aBQlLwGKof2es6NwaXad8ZYjZH//TJdciE8u/6ZKB8uhsqf66S779WtcDTdP7b5KD
H1/4p0DT/MBijqkW5tVNBLntF390yq76gdgVTdtwYDZ62y1r6V+dMv8JyYGqG4SOoOz8V6fsfXA0
C40mnCZm1KZr/pNOGYrp752ys0lHHczKpkMSC9/ul80cvoFhrVp1OVj0TxgaNicKhi5pXPRtZhN5
eo7vvqqyvtpJYXceZ07fH0230dQdi1uZBymeQS/oCA+1QIhYtuIzaB/D3vuM1D6+kTb6omrRkOln
40zeZeUiQOIGGSIknma4YpjGAG4MmkJY+NJiyEpj8qh70J57lBvNcz8s/WnZ1E4aiLnIUdb1KdYV
xFAm7s2o/y6RSje1FApyhFPqdxGV9l1P9V1aVXyXWTXfJVfqpr6ibIvDMa0PmbNmX5FpJp/lptZi
meW8Ar/Ix9Db1Fzpd2EXmlB2WgwcED+Pm/YLYp51S7BHeZ42ZVjWpOJ62tRi2qYbi9UYCVmzqckY
r4OWcJiqB9amNps33ZmyKdBKdiAzeYwx4qNNoeb2vM2aAmhrEzypp9pOxgjZuXnQN32bDrkHFSaa
Nwm94BbmtI29BEWcumnj8hGVXPpdMDdt2jlrU9Hlm56ukKmz0xH7wuFxq2vOgQQkMYGnMNqLdmXX
Y6kvaAHE1diYrwOzvQdtGGrUpT1z2JAUmgTj9abxw3BnPM9loe/y0XD35AXTfkxrHF9jMsjCxVDJ
X8Q4f21Z03Dv2DRx9AaxdSLKXMWmYdeRWWn3znQLw6FGp292ezNRb81x3Fy7jW5cNGUY33BRJU89
5+DNNGykpsqOWCuQLVAVCmsWUe2BY5UnjCzxldeS72mpzCMLdk6Z3EjyjVowMxwXUuKS+GEZLVZz
ilUdpApri24uKIo8v4/HTr0ZlcEJ49mUGKMaBMeGG1WmlEE6qk0Yrw0zSW9qsLIDoNiNdlV886T8
jFFI2TVghHDXiFK75yKH9DDP3XEgLIU4UM+INNeSYYGaI7Rr667haguYo53xB6Kldzs7VNLhdYUe
BPLVUXYpY3ffIg/jgJsJ4OFIPaaNYCLKKVVeWfsz1S7T7t4q2/Z6ISHi5LhDF+L9XqJew2td4rK6
GBPdPdwkk8mtjdWfuFskOzXmGlrUuAgwi1oszaz5nnIKOUySYWTd22a1JNqTG5dzths8TRqc1dpq
2kArZJqk7r20oaq2wQKRaXzQ9cICdkQInGX6Vlek2jNMoSSPVCvPzphGnDvhsnZ9mc21EjBS89LY
1V6DTAiv9sLPn0DNIu948QwaLL/MQbYEPUymHkZCo1ivM+dcfpTNpnEpmzXnt8kZnmGTbJR+emBn
YkoU3NlIUZEktCyXwlCn/A03cb/WIbbr2qFntDZCVguwIZyYl/BkG7MkeSPIj/6SkUTG56M0FZen
bNBSzqgkk5SF/8yvjyfWScIyr103gg3HZukA48p8G5tais9O4XHkv/EeeeOEbACLFG5ew5r9Oi4E
LUwNzeYI6Ig0Kz9V2Sc/1sUIqlDtKB8DXfR6zI2lzdF/Tur/k5PaQDfDqfXXJ/UzBVz22yn944v+
PKWtDzojWgMuJ0Q8DmmO4j9PaeMDg2kTYQ3KbSSDBqPuH6e04X0wIbdqqqrimYGx+dMpbaMMtFlP
okZ3dWD3/8hH4WibPuYnlRKnPKmdaJFIZbKYav9+SruT3TQNt+nBBbdVYh9o3ABPL3KLeulg4+DA
q+OPS+1aHB9ukj6pTKYCUzUa8mmS8WI0qG69fmKB6zDTjBjPubfpkgADY+L22NQL6j52ACSVi0dM
vzOd39i9q0Zb9HjzeIOfaBfrZ13Y820L6w1VgQ5YxIrr5tykiXdlkjL9/sd6d9YH691obf6Sbpve
syAY6GsxO/NTYTTV/NVzPM/JTxnjpUvaOFFfsYdO5vysksKLAYDglEeJNVzkAHtG8zKSpaEhXm6U
R8W0qA9WQj0iXOOJ75DW4w9V1pkh64r5opGzgoswdT+WRenq50FMLm9Lo29hDjK5yluNlWxhU5JT
ejUgSKS0dowHmc0PxSezWutzAleNWc9q/hd7Z7Jct7Fl7VepqDkc6JtBTQ5w+sPukKJETRCUKKHv
EkAigaf/P1B2hax7yw7/4ztwhC2TwmkSidx7r/WtyBF28UkgI9o6RmxHmkeXn67D9GyaTGirBmbs
kUCSbN+0VXsfr2nQexWn9lGH/vcCWCGLRh4MH0DYUZYQRUxpt8jOeyaLiNBtz1XMBxexsNHBLNC7
XRwkq5hiwX5wB9OAeZpGw/4Jx6f9OpKOsBAuM7UvdmL7F3K0jCdwW+unjCuF6XkTGE8EOzNVm83J
eEqyAa5c2Tr89YNVImQUzQAenGgdGAhDz7jaQuJcbX1HMvr30wBllCY6lCRTPTZMY7EShO//SjQr
Y/u4dYW76Ua8fqjGKn4HgHXhXdpatS8YShClOEMVP+c2zvPQGV0QAsgZ2PjTBDFIopzg2W8KBuHv
WkZj1HhwCl8itAyEbTzBVudtVKMk4MNrxlUfFlhHKx2cV2KrUQygFBCMCVW/nIN65vr4MJuzmeDp
CIlU5A1564eC68jOz0OxlOlJ82dewGR0KtlyDOPTrWTconaoGH4msaS14tANzbFzeqWNzxNDxC3U
D6Q1PTlHyXFY02cJW8+HNxyGWpgVq4TCBh+Z8Yl3qDLKPGeq32i1ZC6MnJz/gcF5neO765v3l2Gd
hJs0qUIxKf5k6TwE9m6FdoEhDN32fmhfOO5poa2h+MLjZOr3fibdy/sVgQMRaPkePQ4Di7XZSZjV
YY4043kSBeoJUhWZ8NoTkV17IQz7Vccg6oc2TKyzq4v2pUP/LkE6K4HEJXfshyQn56uwurQ5ZlYm
+m2MgYdcHnPVPSUW45X9jMDpQqqm+9Ee8ll7fn+V8PXH5FDOINdCy3B4sU7rsso06phbAg5pAJdF
T7cWnBDfMybXbnkcJnQVO4BRfKWmvn4+aHb0/naYg+YcuH1DCHfDfwcQ1HBRgKHGYgUgfE8zhQUR
VIS2e1PJDuXlnWCArxvzjlje8vuyOKzI3NXWNWUg18IcrvnVvhkZzJw9o1JjmLaFCpVXDFM0BOZy
6Bd3uiLmU/cS5dCLxUqzOBjCOGCdQh3dBDZaycEfw6Z1aLE5JNvKTW/2wXas6sQKZ9F7t67uxec8
mINnvkw3RenkGdcccAVgQ9G3L4M99sA+c1M9SlbxPp/8ardQA4a6TJyHMRv6rzldD0w/PHSey6BU
jz6hkqFnCha2KSbBm+EDuLi6rfHuyGcnBqpxauiwkASY5AXgeGGAJnI5wJX0DhPq2q+g5dH5GGAw
4PcRSMXm0Bf2MaHDcbSQCmA2UWn8LJjFXlywfVhfzGq6mwzH3tK3NEmfode3MbsY3GolYI5axFDs
m9JP01DwxHiojba+Mg11YVUUa3q4V6QmOUWLt0MnNX+zvco6xWLIDrn0jTfkh0QmJqPydoST55dO
uNk3q1PT0+g4Mw4TpANzjtavybQPaEfEc2raZAxg4GgwRPnZHmgXlj+lkYEDLoM/U/VO96t5W+My
+ZbNScEdMJX9mTO3l28kc1mbAI7YepkZjpxBjpERg77aOI6LKG5ILkG1MkGkwFU9cCDL4sW7gLO6
hTFffaNZmBJCQIIbMVFzN59qwBy35aRdjUozFcdcA7RW4cveuJS4i7uHxbbSo9SD/SBdgpdgJkR9
V7Q300g0U6GN8T0RVOwmZFQSrtaOV9iQn6xkQpVJCs6S7CUZDZe2qHXzQ4y9+xnSjngEbnKfOrK7
EvKCbDDpcRIahvdYe4yGylEN/l3HjJ0CtmzXyB/9E5ImBTHOf1oS0/04oqLaN4rw2D3EQBg4fG9l
e5BihXZZ0wE0cRWOrXnfQzjFKtimzrYkgJDhzlIyxe4GHXwjrA9lQqApAYWAD7GE2mB7StstxqFa
J5UpnT4TOVABf7MZguz0ahwrSMBlOYaawRBHWl0T+kofnhgO+S8ZneqeR6FF8ZXb4wZhYHuUrsWq
nqz8s+Lxfp7KcbwdTP3zBJbipgVqMWyMSbUuw594uKBhyyNpB+bjHGgMH1VuPMBEHb5L0P+f5yBp
ulc16KV8yFwRJ2eKAtp9ZcHAthOfTBraDykJX7QJi3jDUVBd5EDpTcMdaY+L0am3tDshBnfbmxaI
htmrvkGfVZduyWifYpB+gN4jXwgUjaMEncx90AbOnRonIGFFnTLrAsre3npaXNzocWfWEfWk9mAX
wEM9ewSdVJVopWxXndq+qj9nI+58p2k/ME3UT4UunolXlIQRsE77XH8xzORI6lN/0QAVfZqmxKKR
XcwEtMa9AeYmTc99Yid3FoOjm9ETByQ7w6bwTEZtOqpwBLUt0qYpRWog0WuEZmpbSCNbE+gnnKBb
12apYL+9VJPfHMzS+BjnqLkSVJ4bKER2SNVTYKcoy8hoJevAbO1tqphIJlYQL1FidyBpXR7huwAv
g9qYZms9+Int3hOJMzw2dF150NcSdz5Y4rBYGJN6g7zBB0w63Jh8cPUO2IPQssiAhRmCF3F2ATLe
xyxvaMXmHD92JilREcyFHGwa/neUpK7DrLNP0/tKYeekCJyfdPzC55ncho+UimxQRB6R/e7JQ6Z6
gCbgIx+sQYfAVMM4igYTGq5VLd01dapShnPdT1uKPHxq6dRgL2Qu95CtbAQRu0d/yP1LUyTzB70v
YziOFWO9Mf2Uo7KEBWv4HCiUTD7IdiXT9GrgidtbJ5ep8EHpCbaNIPV37ujyPQwin+AAVnqAYNcD
frcDgeBwJ1TwUpnqI53IRp6OZRpAA/Gqct9Otv/cBrxx2SrxGOeNt8P6E+dbHofTwc/7LOqQWmz8
ON7oShjXNHZrvMx5SosNAfC5sWcbbGY6r3hOu9lNpqksojkDdeNVCgiax37zlnej+x2tybTNCtdZ
Dika2a9MzbtDIFAjl+vRqiVbbVNKxiMkaFWMu6vc3WZaR9oIStsQQfF4M4Gtj+K5HFbLpyTgzzPP
RV7J26X3W+sDz7fiZoAMksqQRlh1n6PxDfvCaa4j5Ez3WgaatYQOUScb7IMcC+rJ/lIYpk54JQwK
biCds2DhGsUdI9pHvN3qUhf0FOexYFCfk7T40HMMuDHpmbDzzlbyyatk3USLBbIF+MNLQrPzuqDq
pcOVpLuuGOeLw7TotqvTDrQbHfVobJzxZDXlcFZGh8W2ztS94Qz9UzpVJ4Dn59ZfVNQFZncHGr3/
SsiqvoekIU6GdOK9SPxnDmoTGhxEeZ6wH3I5I+dzZFHQGFRVUp56knyMXQbdd95MNlRcrAR1k4PM
cZfrCPjwiyrI7mT5mETLtjVxUVa9znSseLkU0Eqrr7NU/b0WzMsdoWci20K7cMYv/tA+EUpfF8x0
sxHHwZ6mq6WhxXP3XWp518YoPzJVUem5Ljsvvli1/oqgvr1RhGNtMp+1cCymLOZ7Js8dHXCeelds
KLQMs4p/ExNNxDq+b7A47FY3KGrz0Gmnj0tqN5iKhZ9494nZdvc8/Y5A0yttOvxUyd//KIH/qx6r
e0AqQ/8///2L5wvAgEc0NEW7T4QKdTrV+c/GkoLDUuyuqlZnXksnJ8tXm5pRcnL/6wutf9HPFfj7
hVbpuk8ZTJ/mlwv5gsN8V3KhMi2xCLU+Yvqh7jir8TWAHyaEjpNzoziPLmy4L//06j7JBWg26G8H
CNvcP7/NVgPsDOaKAJ+8NZ9cJAARWvuZo0QpDo2io7xxB4/zoDZVnOD/+uLGasH683tHrIcyIDCN
1RH263ufEOrGTSyaQw9jGnHbhHKIhKjOfKrzngoKvR9vXtpzcx6SluOKLuqRGqBOvHLNrTae/voF
re/2z6/Hcnz4P5bBQMy2f309STCNs5lQzHhC2EdQWcEFjqz5tECVeQtQI+z/+nrOLyYrVplt0bLF
JObpNudD2kM/rzKUd7gW9b451JUI4OJRr/U8jV8LDYdgZDbjV2Ygtn2bSH+0jkK4cH1C5hlpdZM7
OdJ8jd1866ITFHfvAvRKcxe43KYRPEsIC1jhG1aSzbifszpBwm96gi2PLo49LI+mq6Eg7lRBrDKG
lRdAk85r48hpeOxxhfS7ZTAMZHHwKy3780IRWQAkV1TpCYhJCryEAhQPhvHERJfUL6Qob+wT9Xd/
kfWjFSSUcbAe+XmXsf0LgRRKAU+gMb0+MHWqasQkDwvN+R6CANXi3gfhcZjX5Io7ZrmGuxeERMAs
Mvzm5b0BUrmd8SM86D9y3b8bRNKV/Mv25m1DgsJ/Ra9FM7z+LNk1f/zi7y3OgI4kRGXKE/ztns3K
+t8Wp6Hbv+ncRbgwHR8Xs8799scgMviN7iaaXdvFooktlG3vd8mu7fwWWIaOuFY32RBBzPyTQaTt
cf2fbmqIQ/hc4fiaHm0eFMK/BjLh00WbrjzzQtSGnSz7rEddFEcolhDQ9DcaE/xtW3kgt5Hp5mj5
bXSGmlm6HGgz49DLVrvEvPbt3GnVLiFDNfSaBT1iUh9SYY0nQjxpkpSBe27Gmhyyum/Dpk6085Ch
cG/tyn0E0arAF6OL2OAkZJwHn3YDBA5hSd/PHKQXY2d2XVYzF4op6rsgDnndFEVOciiy9MZF33OC
QAEVoIsfpqW7Q1ASeXyOGxvW26HrwXzgNQefj7IYWFkUc1yJ0qR7Gx1jisYcMAKO5DwUVj3fxAKe
1jToEQktX1ONHm5X9hqJcTmIPX1Z9k4DfhUzy57whPpjMMt827crr6O0t6USd6KYyVBLiuFVmIO1
K73KD1sHiY9VuVy/MuAAIrOPhtoPDjOtzKuXpE2EtWI5tIWJt5EgZOTTrTzQjr0TRDgx6C2WLT0Z
8BEmZG1bb60tEDArSjLNWaVaivZ02Z+KzLtJjYC+slVdA72atkPs7QkXPbSk7m1iLCKEQjRkq1nY
EM1Y30PoNUInnZ+dQcKLGNY30RbAfMG8RiXRPaFwNHdb+uMXTNiRpVR1grKWnREkz6FFdf7ehcgA
mzhLBym3YBadkXJH68s9BHFwGuZGD4m9RPSxxBoq0IzgAp2xWN8QXm2NSu1MG7EUAKL5aMLmeEIs
tBzZ2GTkeRMBYcpwdiabf9Qr3Y6QmVEI+MlejSQidgwqtoGRf25Va587zT/SVsdt6hDPMvaclqwy
2afW6HG2bDuSa7RtkXdPTe8++2q55Cbux0S69k5DJLU19CXde231ujj557wb7D0Z5CKc8qne6hgy
T50ZfLMXLY8G+N4Ra+IJiM7GnVgSvkhIScib3ZhA3jCTuAyJIEC2Y+CS6UuSLAfn2DHa/zzbixEW
oj8rrfiyoNhCh+hzkM9yJAEYCsNlqf2NVrIWshr4tZe09iFdbAh9mK1CveTPCkN8Ipy64pTPWJ2q
QzLPnYHxgcTbNlZg71xAR7vYyj8I001uaj2tdpb/JQl6/YQ5pePQ6GpPkESZBIDsoZlfZtkV9pgf
Eomub/IinfdtFognvVZ+xCi1uC6eb0eQ6W+A+ZQ7Py8mKJApnh9ycHAl6d62VuAQB1PT7+kELFt9
KSpiQfw0HB0UsSkm4Q28G/domCIOs8SXjNpp+DqSuYEGvFRjAvlhBHi9G1HYRuSDeKHL4YPu0XuR
34BodnL9wxzbxBCSicmd2y072iMEIY8LMvGlqB9JCZvvYzCDJ2PAoYfr1U2zcNIKREytP8HLqcBy
0zmF2tIXO17qeAFkbPGD2gWbRrlvSOHW7OILHWEE+rVfHpkhJMx5pBZ5C59nu/TOwUvLHJm9/p0H
sB8pNLonkrSx9LnDo+5nR0i9LsKk1UsjnKsbE+8wMR8iAQCR3jJBVbdthfaiC76OGKNR1d7Hxnhf
kiy5xkkAbsi0b5W9zLuSeAgxeIyd+Hm8mvvJnWfymmtA4YkmwooGKH4jhGupZ/mMlbLXjhQi9LjL
I3N+dfAkZ0TQm3CH/XEICeqbtyYQpUjUHUsqccXNbHq7sTJfg26dx2YQV2TVO4+xmSbo0mjF4oPU
udX2yu6+ScSSG6Qj8a0j1sCM0jBOsV9SYJWm3BYz5xsY1m1EfJV/SOk9NaX52XX7C4Gn+bF31LM/
9RiPM3cIy9lyj6Oe1U9BIFF9iQntNPqyFF2AJFs9nJKSScV49uwB2rpvnrJGVBunacqbEkFirYv7
Mo2JUyJ/Noy77rsQACvRhcYbZxmbvQ1oOKKNlG+7aSgvWD3Fns4VakcrDg4MnTdgMtEz+8ETsUgH
akHjvLg5PHxz7naDX6KF97livSxPOISz+75gUGDwEFIaPPZiIpy9MJJyJ2iwbvTKwePCIdUduuyM
JP2YiI6zurS0TTIg4y9THi80rdyXslCfpngcD97svTUjkQtpUqYYwoaJ7HOl7ZI6XuPZZHA3lPJe
TzC0d5RmvPDppsXlFg4OspMqvjb50mwnkjtUlzGrdO2SPGDt44hcYwMD9s3KWsom2nxHXy6CvSbD
RIaV+sD+m51SaU97GKU1CkPNIeIFka7PKGqfoXHeJd5k7ajprRCit7FPvPzjBCXxuGj+04wrsS8o
3Vst+W5pROaUdRnTayJ+yG5dY+c0pHeC9tRPfsuYrGGMQWmLSJDWbxNNPnjo+gsC4Hr4YGcDE0HW
rAb2+KAmsqfbUA0dmcLPQyzhqoc5eSY5dgVWX+XfxcSbTkQVpKjzuMmavHJ664DRJJOwkVr8Hh+s
EYOnS2IEIwQ/2Tp9w+5dMBNsifFFIxg7V6xFNCFfGqnqpT4JS4KcDSF4AiDFJ1QSak4yeisWIf7j
hvuBAfrb47Wxom3+b/XAimF8oRP556P1+y/9oR4wfkOxZnJ0tnnyIPSjfPxdPeCh1uPkbNP2cX20
Ai6n3j+O1g5cIRQFHK+Z9wP9oaj842itY68LUP0Zls70h5n/Pzla/1q8+g5lHy44C19eQNbrLwxG
Q7qd1PUErJ2vMTcs6sS5s8TU3i4lbYSfPpr7f23H/FqZr9cCg6SvZYRtvLOSfi6UZQ/vpPON+ujB
Jr5d5GzcohYLnmc+gUvXLcEPzQvcz+Rb82+u92tXhutBJzJpqlHSoM345b0J/DRe6+tcryKkYTPp
LXPXXIGsGZRtHZkzu9bWUr7xxHZk/k0bYjUR/tyG4OJURCgYsC3SN/+199Rpeg/lUdTHRQzDW1VW
zC1LcNiX2VjUVcVLgM1b/7u3/G8+YkZMZLu6yD992qZ/7kUM/ZCLyfeqo6gMdV+wf78RI8lMOsiE
uk/0+R9f0DVYpFyO1atDTVhf0E/slnyN6kPzGRxSukBnD05FNK89i8q3tM9WLN2/6XX9Sp6yuYEQ
1Kx0UvptiGepfn++IEYZfUniNTivUV2xGd0YfMCydIzK/clexQdjZoC8ru2jNxfGtZNO/QxRxEO5
BwWkXpO1vOswm+aImcUZaZquBEYDc96n2fT/ZhVQLvy6DjzHACBmsAR1imH7l9dbVyhB82oYkdAS
1vOkVaYTM5IpEXQwjPIjAjCN6YQEdaaL+85L4B6crxoSxgMJnBRiWe9bx4rgEbTcRF1vUrdkLfWx
2ZyrxTduSUGs0pPUTdQa7+yFyiSghaAYB13FaPaMdTWRQWCYzcXftY4ybgF2a2I7enpzpnuorsaA
cicGG1Pi7pON88WHHDhHHIyVpLNLLXAGmaHuXXYJN8p8uL+HXJfax5wZBKHFwhQsOU6NDPe9HipV
szGX1DC+sUpX65WRZbm6oUiX9oOq5+nCIZ+GrOug35PgazmIrhsBeBzuU0wN6l6bBnUf8Lj2QxV3
7cuYm+3LInTr6MoCRYWSsn3BEMFRo++xWQbdwvalyKNANyycVwK61BVSE42zd00HQhF11TrNeHKG
kf7okoHACDCtH+s5UC8uXPIxpKGIXKGPEUGOtuCdwvOc8IH0XBB7f/xskkoCHsefnFemrCyzRfK5
rfKUMeBLW/wueJ66xXl1oUxcswRZQGdNjrWbmwwpBgMaWqE9Cqrrj7Wa5gnihNTKpvEmK1T/xsh8
VYhwVHoxZ9n2+36SSEM0wQToFHhxVh2LjnyWYeOaCC7xoZjpx1ROaGda9tNoKEaAB9WMLWwja9d+
bRiovKQJqQZJVwWXANMjjn7yXTb2+8AfvCzKklULIkCdMzxoG3UPOhUPvnRXJQl3d/ui8BXSMHyH
XMhxJbkFqWGRZZLT8Z3a9b1OdkAk5dr6e//8qRYcEr58ZoFMd4CZo2kNuxoryPvPEIJQh9Ws5+wb
S3rQeK8PKVO/aEqCYDe+9xsR0EBgHIqpPZBzGMdnwg/0NpT9ROZrp/zgChrNEMB3gWUD8Qdim98O
HLugB/lVwdwHI56+TvIbFcsdiJl5E1savwBCx9CPkzF4UoHn1ICk9GBktD3u13yKukSb4yuIdvRy
KclV7aZOEWpezCWYXxD0T2+SIDVJsd0v2f00a+b0sefjTwFw1BIyVYoSYdGLZqNRhZGPRYi85kiH
z7l/aq043apsBtteB/MusMqwwwxIo7qzd8jWrFuHUW0o5XSI8S3SM2/Uk1uNDVqVmEwEU5vBkgCi
gfdtfOp1s4vadCaEF9v6neamw3UCKkFpixvu82ADmmF99aBOkyBTZ+lp8oA8P8Euq5sNiM5mufXF
mLzBlzBuYbh6Jyac7m2r1zRnCA6cL0Y9VXzhCsQw5+Ek29ftMrwFGST6qNfGJItY3MEJm5GqI3KH
CAZGMx4/M7cnx8bQ7A9DmqCNEt1rbRB0l+Nztg/dZLFlM1Jg0QliTfCgF07/lhr8x4Z9WV15zLGW
zRiN8oEmN09pplf7edVDOSBmn3HOkYjjJX6FfV9KdV1W8QpGSeO2tY32hYIZPLssplcFAuU5d1w2
zMYsnnKCdT7mYuHGgqlrHWMdlnzmWdbRbwNSrYKACo3HaPPkErTAYB9BOm8j2dGr8p0TBCU9+Lj0
rfG5EpqGUR/wun+kubdYU2i0vdphehTFCQ+J9WVJpONuRQ1rFD3/jzBAwaT7mFDDeWna/f8EArbB
5NH59wsvyuR0dKxRk5E1dUbIfYnh+UcyIPRalAemGneLbT7/GhHIXB/DqFbazu8RgbWn2V/IUeTn
W55Y4oOTBibYMX/CAtlBZmt2i0/LYYNdabTDgojzS1VmIx9dhRd6AXz7afYQCWR27d95lNJRzl21
94wW1utMCscLxlXOIu3g+BcL1BGlqORr7YjF2GYl6Q5bgvgScQsqej4CMvExtyOiEgSrkR9A6fVG
R4lxDtUU/GN3YdF0Iyulh4SDglBblxLUX4DGaWPcWmbAXtq5Jnv6uxhLktm3d4c0uPQTX01YlsG7
pDDnNXn+PG2y1uYPUsQ2YIHWwZFbtmRJJ6jaX0shmWqAcKxC6SR9v6e55+MxKDW8FA1XznmYYEj0
0I6h0+FeAlpT7j18pAd69LCk10ngAs0Xd++6TXrpyODGo//K0p/0Mr0fpprsk5Fh/mUaR8jlpYMw
Twxa/1bj+ye5xxI8+c2lc15pdSuoXcxTo4rhKiSUrsGqDwnb48QwMxzb/3hZRo23kIluzkki1jQe
Xx4JvOeuFOIgZyCRg+TsW5H1sjWWEggPyOdVGjDOTHpuDBcvXKiLoHmZTFDVd6YjedVZxaQ5nCQi
yqimvepdIfeVPU8LdyDFZNV0rojlydel54WJst3TWKydchLQ5sdYa5wXN0UhuJmFll+mViim9f82
FNJeLB/YEOa4x7LR9FM7ptr3QXTBPh0nPDK8Zk457/goU00sC78UPMm7YDCeLNGtgkVMP8VOkHq4
8Eqy9RMlmAMlnjPzWB9xxvPAFGxVj/H6jeY5mbXLWK0QLGIabzWjo2rAcqgTben0EE1pMTux/mxo
eC1sPieOlo+kTGjjIxKv1QuR/XBGlIUf4JMo2mBZ21RJNwNHKzINP0Xuc1qmL7w6LTB0qSuzY2eb
vRsx4rLKomGCLEXnbJ3KB5xBvNX1U7z7OKpBhlT685Z/ughRVHAq86W94evvrvhq0mOx+kJQD2cn
NLQxvkdcI/bqH0H6ZSDxw1NSjhOKrtVrUq+uEx37iU1yRYih4SHx2dItkYw7Q08AHK6+FbE6WJrV
y5Ksrpb63eDCMQRvNORmXI6cSIbVA0MnxNmh2o0PwbtFZugQ9nAHTiG7wndMj9+1cr4LVlsN65qD
wYjVJhha/Q4At4wkPhy3n6uDWq05nI3jR+Vi18lX4w4eL/RRtn1nr6YeZY71A982z+XV8sOTr9rb
7zYgDSiFjzMoCcqbsSDx0uKjutNX61CrueOLaEzrtpGQHkKGCxwgVbdHY1lHrry3cCFx8iM0aDUm
Oe8WJcAU8M8rE0A6mHlvQkZ30PLlm9O5GGts4kDA69HnSnGO6chMORHINtR4AtNaRLDMDpJCgyOc
GTW4B/bwPHamdiRptGtv+qJkkVarSp7uLitykTHfPYbSFB88GAcg7xy7o78uxdeq40/V6doT8iyH
xoJBC+LXsn8hCzvgidceWuf90C/JitmI9eD719f5l+oH7YVBo8JwKPtxFPxSHhKjPYx5M7SHsnbZ
jEe4sk8dZgEiVRTqbHfN/Tu9b4d/fd1/Kf25rqeDGlqn2jaV4p+rREry0gKT0B5UXrqvg1aJQ9Ur
Zu2Tl7J/NVU9X2m1sxd373rpv776n6eVq0uE/B0iMpiaurwIcjJ+qVFzuiekdx4mmBLmBr2o+eSv
uy6oD3b732UQrUBgvJ68TXuVh7y/hP8MxP+mY2dZxorG/r87dk/f1Ouf4FW//8Yfk3DrNwewNfqR
AGeP9x5/8nu7ztDd3xhB007CAvRu1/3fdp3l0pNz+V9YVtaW04qU+r1dZzq/+fRFMOngzPkxP/8H
oSmG/T7q/unWpZngoDMCsIW3iMVtrovvp46LPmia7JqG+qUzxUepIcbsy/nre+IUaLlum2oMblXV
FFdv8m96KpNPrsy7x7Zhrq2L/jTOBF905Olizhy14xxbbryXK8F6BC77yk3aMF9q9I5KIaaP7zhm
AgHOc2brwbazwqw2Wl0aHoQqAZySSAW9+dCXMIXoNBRLA1uwGPAi+q3QPcKUJbF3zB4COVQ4aWLy
SHbLkugEZLaTEN2H0q8HDHIQkkvjxMTJhaRswoPYeqlu97u0tM32NNhJBkooRyis6xtlzrSyMjKt
jJPXzOazjYiRdtDSGI0TDjYepT2hM7NzxD/q6PGmmDMvf4pnDbwpVUchu4jSrnlFEea/JW6ORYIA
DWiMW5E2unRDv4eCShQAmqpo4CX0+0I1pMLpFqiA0Q3Sc5zjmyBXzkNkI/U8l9ulyWc/Ap9wqBJU
XqrOBs5CtTUcgGj5TNR852UmYmvjW0l6yPrsMSnJnAWll98gBW4ODHmf8wZJfT5MsAOqAOHAlODs
IUI+/UjKMnjEWWZHDpk3jS3AoY7jxz6BNzWWPc8ulTLwlwEjnMT9OqgYCd44vSy504eM7sJCWWTj
Fc9KomGYGZCdCGr/kjCj2lpxMT4u/ghaYtGqPRKqZ81Coo5YGa6kh0/YN+u9GQRXuWTPmLK/N2U2
nJe+mTaQ+W6XtCNfehxemqo/VbKpD8WQtZGXWZFaKnPT47Y8t61OMEi33JOvjvrdLJ5bDB8RKsWG
rGj5zc1qlyCRJb6fgoYW16rkDUZEyj0j/gLt5t6WtrFRi7wzsW5HkqovTAzm1zbYhAusEXHjD5O5
9dADHr0my3a1WpwNT+g0XPrO/5IxudpXkphGMCjqpMQ8b9vO0a5Jiy+gzpNvsRU3d442PDpDBiqo
glxL3zhDnd9mh7pw3c2Y6e7GamaHUBiHEBjEh0f2hXQnhBnskspBsJ1qwV6607fGKaojkjAcw+wd
G5zveGNilX1pLESQtCYr0NO0KFBA9ERDIN5mvDSHzqKhHNBB0+B6xhFjqifDqfWNKItnrYyPjN3p
S/Vtt3EG7aMD+XdjFSo/pZ0ThFprZ9/XXKXP4+KFuTEwIZ9snHCyQ4YAKZmsPlmMZ5dSiFYPOvrI
QinwvRlcBsuSB7rD6NvXk0jkcgHUUgHbMgt9vM6GpO4s7aK951BR1UQRimwdc7o7q8lIVfVirw8N
DvJPPWLlcNANHAzItM1TPSaC3qw1cDUWVrFsYtyyY9lRXcRS3udTYdD0YFkkgSyNja/U/NaBc9G3
iWfPp3HI6gPDxnnCSsHSUiFxI2scNq+2AEY1Dd+NrpsIgCSsZOeqcUy/k74I6oXKpmPCp3ftdGsC
7HzpwXhJE64SMCYYMvoZIky1nzK/DdNOQ+xuNryzYqJ/nJOLi83hNVfwdho9IWbHkuRctgsyxraz
ttj6KK4SGjOmv3xS4M2fvYxExzLXXrmlPppE4tJuKhrOsgNR8Z19m5ORG+Gey4mLIae790kdN9vs
uSJaEa9F62Q3pphR0lfjYkUcvo17KpAPHRHYPq0JK7i0dtmcjADAtWfJCwaR9mpbgfbIUdd7NSkH
o6QIOEhWASi5MUm5jSdlmtu4qdVuLmed/Oy5QXAzkOI5DMMtrN1my99T7yix5r1Y79rCjt0HIpVg
CWMNIxO6RG/CZLdMbUCkc4+jSE9BdA7L+ixZfPDTbv0wWfML9kDnYMsq+CrM/sFTK+mYfEt5sPzh
k0tUISBcomdMSx7t0vCjYjQsmnhGO3yPcc5vc23QzljzU+qI0aBAYTBEV5JEBiqTXWwb7Af+fJsR
NHO3aLq8mTNAK/U80gyplUkgMwd76Znv3VEkNQGhsfpk0n7NVxCXIfY0qAV78HBD9eGFCyj8TcAA
KdTpYB2HgihCdxLOhsb8dfRRSRQYE7cNxcWG9xYcOqX22tzB2YKpFzagJDbA7RFatzgz9LX6GA1N
i1qmzREsek7zgW/2T0GWI0vy4Wh0KzONpvIRjATeB639rjrvA723ZrsgX93pfYsIZEb+r9krcbZW
TNpRvp+0ontbs2XKIR7PBp4LtBmAjYAd1XeMHvQLXvZmW+tzvpuyQT8uDGwOmuMFIGIRbRPE+P/Y
O7PttpFs234RPAI98HhJsBFFNaRsNX7BkKw0+r6JQHz9nXBm3sqqunXq1Hu95XBaskQSwI6115oL
A37CyZzk47KZChbUFtmxB04y37VGH605aKPYjt+tpihu3Za4gEmmGN1ULhtqw8wznwFU6cxJt7Io
fk5eGe5Vq7/j7F1LbUPuZfnixneQzGOLuBW3fpruP7C3SexAY/8YF1a8TWdzgCQXzDzcsVt5Inlr
TPcn2YjfnDEr96XLwDAr56XqwQhVxYBKFvCtdO+wvyff9LOfHIpEh7yg3rMm8jLI9LFxy/wSWk17
IwJLn9kT8DL4xfepiuGZz1xd3KXml2BpeGCM9hPhDSrBEwVRTQXc172s/LBqCkora2luJjx/+3z2
l20dGvV+yHV1tkwLo9qine1sLx8DJaIknT1/I0nHbiRt3nivuuAZVVY/FjY2J56mqwks9SdFk1HR
8uPPY5G/cdkX490q+HztfJevJZ/y1INH80oFnrgMk8uEc+DRHeP8DRvSEycduu7L5N7hMH1EWCdr
qNK8xScQ80KnWep8C90CnKDr9Rhagp2jY8/Cj+cTUyLqsES6o14282YsIEljQUFTtRstvM8bqzWb
hxnc6FFAnDj6yg2+y2KAFSXUj7yNxwegoka+m6m1OubtaHNY92b0olzVq8WPMAvGPGJ0c4is7bp8
IkR17YLQvcpFDGLLXdNgxLBoa3BxmP0ceopz1guV4IvmHEeNht97h7Y1XS6Z2hvxsg+hJo2NjzVa
EvuJhs41lyzOAOby14Fl5EeddKdSpmSMckLmWwDqn0iE7lPNMveHmeTkJQFVEHrBX61uWtlQc58V
KfQW5S7qhyiDEmbaNDxp2Xc3MTfPO4ST8hDW3iOoydu48UcfRcJq1NE0dM7H2Zv9zzjx4etbg49s
4WYv+CUd6jUyN+orWe7czKYsuWk1SXOiObtmtJtrbzt9tl14Ke5VYQXoLTHIWX8k3QRMK8AbR0Rj
eagD/FyJ2edAK+W4N304Ny0/12HsPeOAVzyuDh3mtxfuZsULj7jptYSF/FTkY3wUuZ/dCFcy8cad
d+rqmWBkZgxUhS+eLJ8TC9Pe7WwAygx12p9C3LEwSoQsgDOX4cmCK7ZNK2UWG+XULVoILBgthv4y
ajW+iEBPn6iN8zEYGlglxJofYJ313xrbJWXvD2SgIxs9qajWSDnTlX4m3oVyy/FhkF8TkzssQShn
Cun4bW2soWW7zLss53q4DQOHxASUEe+bjAPtvSaFkcHmCBRP1mByQi7EHj8ZBWlEtZ3C8e49FFEA
mWDlGVampxLWgRnR9mzclbXK3uLKrfd9HFROVGlV3kCPQ46GCkCXu1MYwWaoZAVKUMWXmb96VBW3
VzBdT7JiNh7qbvqoK/JARurne2/UyS3t8Wzw67lD6arm6qtJFwH2UN86kN4tzhTMdvsFNGfUJF25
bQ1dkn/uW3cvWaBckNn7PnI1HLh8zordnJs039Waojkrr49s7ZJHgnExEDc/75sHlaTKjcDsic4r
SIGx98k+yWGGZLc3E+hBkOOMm1lAeK7wO+k8NWPiFcjD09IEPr3teZhW4Ubmy6xvS+UY6Gq5uSt1
W/eRPaTcR1VQKkYnzz6Oqee+WAHAykjLpPWP4H9a8wOLQRwJAxzrOZvnjEDdIvp8ZwWJjCCkI3IV
hk/vTTr2DUFJoz1OMGKuqhs5C5idcdAu6ed5hC1IO3l70/OZjKbRzs6EFLJtbE3+z6pvnB8CACQV
8Fk/4tmr2q9DEcbZm0lsdFs5IVBIrkcI5iS6I4/u49+odUyO3lQxgptjamy7rPefgcGIXeZxd97B
Yir2pLL1u2CwvpUsz+G5lveND06w4duetNWNl5bAymuqnOoqyTifNCzHrVU5beSy3URuTyuaYYph
3IDmYTqgEuGgitnc9n3e3DtORz0EP+O3gSlyNypFPWdt5uSrzHU47xbSsf24m0r/xmhr2Hgc3K9j
koX7vhDWu+so51gVfbuJC+5M5eox9oFFHbKEkHDfrDuSDB7fphhS+UHibT7QOPdgqzT8FHX/ANwS
E+kowPxZ1nLszBKv7TQlZ0JXAcI4svGOz023Jxfo7rqFFtOaDyXu3jxLdzKu0h3025TTiFF8H5jp
N03oV0cjw81qSJ4ktfQw9wYrSBpuwbJ1cioemtjBXRj6xsNo6wWCYIovryjvgBDXWzep7Z4J3PjF
Z01/o6HduYvjLONG28ETbeg/pcSb8y45toWs1Fb3mBbAFMw8dORywW4Y3s8qKcgKZt6xgA24swge
b8TQANIR5mMQVOTtB7w1SPfJOwbTPKobDJwMdl1wXxhdv6WfptiZZexscnBLbwmU8o0t1whLhVXi
zWiHt872odHOwcHBDiE2TTt/AjAeAPIJfbNU8G1NDp6AZHELbFQNFWgB2LQB1gVkUpdYB+x0N/Nu
bRCfXzEZ3aYJzhfdfeLDex3yef28AYraUWnCHljZ9g6gG4ZKPBanPAOBQsM6gP1EeFtmZuoHjRqp
crfuLqYEMua58fKaT8vgH0y6KbZW72Rn6IfFI/qDENHkqCnYza2Y4SEyb+PGsMDwIv+oYGhviCeW
NMaS/k/yQPwma45oOZ2lx8oZKaA0OnLKI+bBou1/jKkaT1QE5BvBQvGErhWl6dKyDPXYj1hGcbLw
dV50kSb7JOs+OK8xigEfXiJH59VNPbVzQX/usLzM2CI36D13NlUVz4xSXwl+dlsfQ/Bt6rEd7ZRm
cGzSm5j4Axbgyeijep6+h2Z3J+ki2aS59Vwb3PLy2WEf7uH/wD8RvKSKLYRNY3AUimDeWlPsftUN
CWFXFxZV8Ok5M2rCT3Q4kPp96j3zp82ddC8XpqM6aeuntLHe7NQsb+y5dj4Hl52ZSHo7ao3qWfmB
/bNtK0PjYw28cYPqwfCt2DZBna6udMeCam2SHIdFG8TfZzEVrAjnGYpluMhrRyQCIAHpWmSnUcq9
OzgLZK2qMjnjKPdQYG+5kmSEcNzaAL/59WKfmGafjgZXQrXzREE2hOSq1FmiOOrEEW9V699Ro9E+
4JJlsDZhUrH9KwhXeBa7ut0cgLHfTSJt75H5gxv+g/9V1MFPK7GuTt5w8wgyjCOtKE6Ly8PVtOWP
uGin7lBQObFjt+JsfJ9dl1uqk6bghkvdfAbmXG9LE7b1ZK1aYFsn2yUkmeCb3rqcBzIQZ6Z7sFwm
YepbuCV4qsexkDcYhOfuO2buk+IDv2W3IW6KxLiLw4FZp2Spk3f+qTXncS/twt9RqVOeWhf5jy5T
UmqM+lsmU4tG+u7cJ/MlzNn6gm6Opnhxd+AdLp3T1hHCjH9T03W38Y0xPXB2QUAErPkgLeclMx3Q
DrGBqRugxDYp7fqQijbZZU1lshLgcNa704ADMBEoF7AkROF+tjIOLxONn0fKfLJt2izfi8REORsX
e++DOtrko/0Rw8N5koG7Zt4X2W/zqZG/uYM/P3Hvg9/tuf3WFx0dQx1ilDBzkviGcwdN2EBnoSl5
14uiOBJTvqPFitINbTtUIGYynGDQmBVtVyItTh3PR5MVGvTxpX0fzKZ5cwk1kaKAb/iDir9YbanA
Nt4br+offFEax5wHHuRe31dHwrj92Qd7t4U7macRHqxTj4NhZ1fL8sGcxaWVEB4hUhM8NNKO7/SY
Tj+MzPuZ9DD2sPcYAxGSILxo5RBgz3wJIiET8lug3OnRghKg73sVNNh//Ko5oIKuDVqj3UZa062y
giJ9up0yFbVWVsNhhd24x9mdcl6IjXuoyi7UQx4Gxyyevy6J+40JwX3q4qTZsykdj1wHy87rB9po
w+BZBjij27S2nhJRttshtR8Cc4jfK1Wzf6/iAIKeZWVRuW4Ab6XFUHOmuXuAkz6nt8wQo9qTHGi2
fZ5508mpuf9svJH23EMSS7WKRCUNbGhhzDQVW9Kaww3jnQTzAoqp6Z/71uluuy6gwAUsVSjwz6Dx
LW0ebxfuCzjIQNPdSyCwX2e+Af1R3aRfpoIaYC7jGNEIgTrdQC8Y7uypJcbBp6fbilaOB9nV2Vm3
LfVUPLBCAABTwsQEiG9DpRCr1X5cJyHuMm9V4fnf2QNTB1ZM+Xhsg7TZYJvvGFoDyEJAsWAVEFJW
T+7UjohPomg9VpI4JFrLACaDIfDTTZM8iQA7J4pV87Jcl2JWtDlzoe10p2i/9AcO3pCES3bmomoj
/IA/wQ/WO1YEFwqEc8BEHut4eLqR20548kmCX1QyWy95zgQegUYDd9i75uPQNSDAy24OroPb8zzl
XtY8ltqYXwxABic77dBlKh0Gd/1ijC840sQ9iTD6ilt6nTi8DvZlIJx4DY2Y4wt03fAWDrH1sZRZ
cRqHYH6yLBsxlJUwV2lTc1vdVG5Qw62CABFl7kBhAntbnliTRBXc2H2Y5Pco/BiUMJ/Y5W0O89vd
j550eacrUB4j3N9IFcOjTgaHRoalpTkZGeqr0H5yAoFRUJueLj9LeqLeYnNgUNPeiJ8Tgek+DUNc
j0medS+T50JTMHjqJo3Dw4yPVMRhJwPLMuSH1sAjgUWhuu2p7LuZpRh3JB2LcwsHBrazb4pzoxv5
bcxBzXCXZZmcGtLZej3xQDsbAagXXXvvLjI4VqmZ7Ghiaw9yEM7Wbqngw/opx7sAkusr6q3BQ0y2
XwXz3blvOrmHk2EfkTN9VBojvS4pLFIYS6RI2GVsyf5Wd9MY/jBm09xxc4qPXgpt2YCHeBfOXBp2
bqW7rLNvmtQMHmvlYWRb3PnkGb6mgjwuI/hQJh+akHSUN/bwDMLpDvtpcabt5YPab3M3Uz60z4Pl
PaFrbWs5mA5j2PbwFuMKraxfno3MBpfU03LdWpQ1GnzQDynuyO3cUwldDJg3t01R0woa0q2Y2sqM
PJOSk9FtmGWF7t+y0gEhPab6uPTKw+5jDtMjPC90YDMEXVK71lxelQsOc0l52OQ0ARboWXNxNvwu
ki7rGzRWOCRLk+7NIsBRjXPOLTR/LoBJ2Gp5kGONDjwXz+FgwfDhZg3kcZcRRV2rHt/DGntKmLDw
kBhEsM6VIsJz1ewts3CO0sG+kOR4SOmzaEALkhITsMUS/WCnGSSovHuBpJA/wgI7xoZFG0M3Hmbt
zN8NxRrEso1X9vBiLzQTsuqM7NAC49moYHqvwry7yKm7TI1VLnj+gD9sIDX1cPKNB8L0C1haK73p
oAydndn4dAx/umusuielBnI8Yw2G0BM6r6N010JzsDhtq2768o9i4f+urf/N2tpyQPX9T2vrh/63
pKn/Lmby+5f8sbeGzvwFMYujDMtnmzU1jog/99bUV6/Ji5WCEQa4Ev4SM/G+WBiF+ToyEgLAGKvz
P2Mm5hf6WB2fEJ7n+CS8w/8kZmJb/5BMwNK5uk3AIwgLPoOw/iGMUQyTLiTdHI95Edp5uLVNQbSw
TwrvIYxbx7k4Xgc8oCk52+7j3xstyW552yKeG6nuic/SVA9XgkXWmBWjfaV2wyjVixvMRiG2HpD1
TUvT5THRtZCPY9mJz4rHq8A9RS8lSExaicTGgusCy7UhiRXMhyZkKKLhMT9Vec2RAfMg8+66KTRW
8zMzbHJijuo2TZNQJUD76dUF23xIdKMjOyypsC4yOGkkt6aJrXXPjkCXLcsDxjrjmy+Mj0ChgaBU
sKKwQ9hwKfvbTOv8rApaJ3ysrt9lPlncRloC033tpdfeX2vOhkYtj/Ok45Ant6zY0bb8xshhGnV3
6MqWoxB4pw6IdDJn8MIS6X1kch6/DWRB83sXLFo0ZK3/kPUCD9mSKbKlpbewIMd4ygwfqpDDtBiz
5cl3x/VZGLfLK7uhemPAup/wisXJk++QPdwgZkMJxjlAq54Xp7daKvWKL4pjgOcoccPRf96FKFD1
lqG3Mvf+6LGNZpXUvnDP7bdJ0uWgPP25OhkUFWKOdoOWqSbWwUNQSE5DdrlWQuQ6s7D1qnRA2HUH
0Dhe6S9v47R03iO/iSXo4JwrFTGxqSgTE82VgjtrZeTpT/p6MJEmWXFkRTHtwWF5kdtlE6ie1L90
mrY7zNxFElnL2FwKZufT0hC+FAxXF8MN5a5mejvFjk+EtO9d71O2IX1VXDT3WKk00f2F0hiif0sY
mPuuNtoznOp8uRP1JPz2ROeRZJEYguKDD8wLQTCwmtO6fXSKFahIkafpbIQNmQ7+L5gwimarAcNn
XJBV36Q1salVy3DsVbjk1WMPkPBeaXP2n3BdQib2DRW2z/hRfda/zUDhRRp69FAKIOdbYu/UCXkY
NprTmgjHw0pF62fV+QvQ79IH91MGS2Wc2YEnnD4C1dwPRpCd6Z5Jb724lmwQU0rKCmz2uwWb53Kj
kgUHIeFcnge4cEV6hMlH/wRgCDa1o7mM5lbqxGB90Ff+vk6y7DFT5JzYp84pOeo+rriy48CnSKRd
spHFcjPJbUuH2XzWOpu6yDIce9sAROZATuevuRW10etNbtRh8oiNPxu2fTVV/h1uAsnC0hWHvvBR
KhIwbHziHFoTc5/0UWn42b1B4Hbe0wLEUI8zzeujqgzkq5UNzWEk0pycHDFc0bVzfQkn44ehw5pr
ymCIp9ORBdb92IC+349dWo37BEn1VcUNHNhgmdKvWgcWUV0awuoDf4hlmAURRQzciZYnp1ubSOkB
wMqXlaXlHdCv6BP189i+sZu2/ylxxP/in9oMpvppLqy5PUpY2Q0RmkVFQWtQxjUM4k7HuXVxasn1
CJKKaqc84W7mTtgQi6XLD1rZwSlnl1dEgTTgsihzJVvaQ60j/qXiEATxsCvNJMZ+z3vF0Qqqe2QB
JbwY7SLmvT2lZeSFuXXbeDVNLEEOdNbIWjLBDpLL11Y7WSTs0uJ9LhhPPlhq5O85JqRvdLbNb1g0
5n6HhOtwrTlqjvBF2rvK9IzxBjyFsy3tCSablw5Jf8tfgOpnGnS2Ac70aDvZeIHGAOgMhmvhDnB8
tyXPv5QOA+hEnp1zHLoLG62E0MYMZwJ5bwXzjvRooMoCWXPuaPWdkCnruPxqsil6xm304vARHjfZ
oHDbhQw1Ry+Q/sVzM0CzY7zAdqPU1w9r4IW1Hq1dabgxTU1KqiuFWs59WaFuQ7gkOHgHa7PheEzK
+hB0jf3ajeo1UWrmmOZleI/NjLZLrAtixDQ952q6q9bqWL2YA+V5DSePhudXcoHEHiMQ5E656OVY
2SyXaFN2fnUrUwYmg3vIuOb+vzbA/w32m7xlQPbxX9sAb+rP7L3+OyTOH1/zx0AVOF/8EJCU7zCw
AJ9hMvpjngqCL9CuiB/amPlD4a1D05+xXfOL7zJLCZ/Un+Nh+vt/85Ttf/H5H+uX/dF9+Z/MU47z
T85aAFcr8yt0mbUCa533/moDJNeXZjpVANtsGHM2UM13FoQx5IdMsFJPsfjOABAXvR0Ih0gIH5Z5
9tK+utNeTE+saQKViEU2f/qTWT3oWNXfQx5kqwGnSLINX1VFqokpmSFs/r1yuX0Jz7Qe+kxybbGP
s+/olw70FnBfQkNwWHqHzAue/L4or72a5gcxv1dNT6kNzY9gKwXJ9SIjEKXnstY0BrY4NcuxUlyo
nCgp+Uhg36uwhpJvjz5LAATo4iOlZifhxF6teFpgHLvGWrKbQlGdDCaG02TClGLvJ0G+Aig3idFd
yQaMzkfaN8wNOz/70IUp50niQenZzv052NEolRF+qUvPZodF63s7tO1bMwp9DxtVbCcbZCwEEvmD
fUP9hinBpXguSJbbTBYIIG2evFupRXVlbgEB6gAwTPSdexPTicoCea9d1Ty69tKwggsU1IGlkv6B
FoXiPsCnd3FKW+/bZYyWobkBHsMaD8Tgdq6nfgNy8yCtzH80uyHkjmFXP9TAk9ZWVfDouWZ7E4/5
+GQvcqDvHqqhIxf7GOvWJP5vrA0fI3bGfNHTbaAg9N3owexOa1ij2IjExXKSuZ1/DkRl1dveWMpn
u2qnp4lCXXKYJsoY6rb5ihocv7LUW3fn6LY1Noiz1MxmHHO9TQMOZivJMZ91Yk4vJSANlNuw6hll
+u42RSj7CRRSg2lfRqOIBnZND7NTl7sWZgJLG2xZ9QZo7XxH32QPWdmbiveOyWKXYMh3EZQqkiRW
LofvKEpluZXwMphLOjt5BEhUm9AvluwKwdl+sZIqu4Ta5V9jI9s/ma2VkyJMnVvTymfBnqFJjxhz
Egz5TRtZ49wdJXrINaHDZetVuXoz6qQ/IYCFv8le+v3eE1VCT5gtg2wnuy680syq5XYgj2e8Etv0
HjFCrZ6aIKbJAVRv8cNpwdnQKmoV1GvpKgpdBqOuMmss72GB+D6kj77Kh7uBKviT32OX2JmN7ABp
1wDkvSWp1hV18zWwCUUk/dgMkQFG8syJxbkD5zHhBWqq9j6v8TYO0JS4yl8VO0cEqpLgpMPLo6xA
tKdwxmPVnpraxOC1YczHynZlcU/dMtlbocC2wCka9bGSk9zEsxYxvR+YWk6pm+aE87xHE2pO1Dq+
3to2YhaR0vBJlVw9u0FN5RtHtGXDko16M58F/cAqyWogUQ/u0zQhPXLcoE5ldJZumwIsuncgnZ5H
9sEHp8tdjhMD1KFiSXYhnPVdYLM+7LlerjHoJArX5rn8hn+VPklvGkX+SK+2xjTltHoST44eOA+V
uK5ql81HZxzl1D87cEkvBqGbIlI9FZY2XZZzgqO0QVg9wE61onKtvGynarl0TWDdTGshZrNWYwbL
UF5kb/fXUtJcQ3FmBpEoLHd+yxtpQ7Ot1qJNk5YhPMeM7CgrnJvOc34Cz8F3so3uMK11nWFmvXE+
WhuFjVOOaQSONjtX1Gq+zVr3ybP+OWW8v4nXMlCTl2WPSD88kP55C9fKUKntcNdIakRxN8fHZL1b
L5N4qdeFTLzWjhbLZz/Mt6PmNYxHcZtn7ChYFxSoP0P6Tf2qL6XHNADWclPRbOryjhE6ta6C/G8U
036a2P2DJ/P8caQX1SH4sbGWW38tTK1EQ40KTtRK+QBt1mZVTCJzZP2qW51UGxBdM9ejIL4wtFlC
hJqKVpBfA0gS9i5reyuno/mAw8+JzGEpOkwOPn2OISHmHjtnxq/X6rdUDcNdqCQEKGluLD5GeFLp
7GQtZ23Ery5Z1TUHw62Ng0MV3RZAl75fftXPDo1J4J/826XDCX61Nb0OMMbG8lKs7bVe2H/6HCfg
jCUQcqqwoycInwZ8M0XJw4zPHW4MH7+vPgnhyDXdJuoUfbl6bc6lKH65L9c2XXyY/TdyhgCrMS7d
Y7i4uL3RcUnQw9tTS0vVKd28PXyHp7mM44u7Nvc6E8ZLtxELRov5NqQcMCosmn5LFb+nA92/Fpmx
R2vtA876wb56a0fwtLYFj7Z3Gtb+YCzh3PkN8eIOKce8tWU4zSkKCpGTqXjzf0hi8tfAQFfVk1r2
9qLJTUu//OkNcX2v5Q7BZTrLEZozJnBmWu4xxhmQro+7HqQPdUGM/t3aiwzl3t66a1dyqIb0h/Or
QDlshmHrF9OVD2F5HzaifMwJXm68tXs582hhNk3x6DsDfLi1obnSdDWXaImRQSTuwZXmd3fuKbCj
7f6pClnUuaNvvYyNAycN/xKD8++F0FTXwwf36/2SWaxTaU45mGuHtDHTJo11aDnii1I33sgjUhXa
uzFK+Cu/56H+qzv+G92Repr/scfu/5TvH+/V34/Jv77kb1My7cVwVj2TWxi4FWS/v43JDg41qg3w
f+NVW2vg/xiTbeg2oHm5rQm4Id6vBvY/ZEdbfLEgqYa4IlmVCiT1/2hMZgj+S1bG4bvAQuGnYIa3
YOT+w5CcMwc4A0LcMTQMnpE44PRxCp3h61+ODv8f0AwD/z/9Mz4kHvxQMHn+aRbX5oBhW88G9RGO
+bVoWFvYkwgeKm7i1e/Brn8JtfkHHXX9lUISdQR/UAs9x13LgP4S/+G9wNU+2/FxMZvwAWljvmMk
tE+EcNRjS4A//Tf/oG3+86/nw+mA88IJyQRyi1D913+SJZjbmX4fHzPuveAUumY8N6wom01j0HPD
wgj+hAgQpfdiSmbaJ8oyXw5eI4mMdC43T+L5CJB4YFlKwIg9hlCJ8XOHPS5OlfXnLhzCA7vf8PAr
418RfN3WnEhOS29WF9p6wkNp9OM3OCU1s03f7o24yu7jZczuUSXcOlqV28PSieoGWWvZdeNQXdCU
9G8wafVzSnT22W+TOzEtjHN+SWCmLcVRU/R5B37EC7Zpbk8Xa5iqn9rWzQNR/vybJTDFEJAt926X
1lszo9x0rfk6ioZW9U531iGYUTL7bpE7M1VUko08AX1zbO578H0wKQr7XZSJcSwhL+L1BHHdLSV8
PkeFMSEjw2p+DNCiz7T1qQsrpXTaiE6yt+sDh4e5xeqqMELJSJP2/tBt2BoncniDXOIuwxldMd/7
NUoG0zGf8y0aIJ2lwq7qj6n327d8SoKXnLvvNUxEiPVGDOFnjkOIdFHY+5TcYnXGIZtnat/PZD7w
ANnpR5GScQbp6JQPdCWgZ3pO0pz9SU4Y82v5DAuN6S3O+siySj57OUtSCghz9yGzYcurTGAry5dr
2oUe4F9OfhW7tn2jxIip34MEqvAtfPZVlR7SOv2xrCmrxA5czlwBs6Op3ZQjJS9Oiq5z15UVmo5t
GRdaSvRZ6DgA04JV9carZ2Gs7UkkYAzybQ6OMay8wjnOsh445mXFWeTJ9EltzAghfj1e6AQ34c4Y
s/DESzDQU+H96EbOF6bs7+u1Com2n09hKxaYhXNLqzzhtSL5Fg7s1Lq4LQ8GW/cNMSm1HRS+iMZy
xBbDIoXD7XhLSwkkfTUiS3oiyN9ZhsT8ZR8aEuJm2nj4ArHlXWNZWhzIh0dX4T7ckGd1+Ghz9TCG
zHc25g1INvNvqiKuzcwx3hVWrT9G1Sxb3ln3o1VF8cDgYEWFHsdrRxJoW4/BlbNKtptc/WpMvX0P
hsfa0Wsx3LORpTY39OQTJ7mJ2FQ441d1LtA9XqBwNNYxKwI5Uz+QzOnyAxc1z+x4nqYm4mSGOW2z
BByr2PvnEPuTqqDd3ZoWBsGy8/Q5gBytbspQsMXdpkknxAbcQKKfEZLpjll384NkR2404E6Xeci/
On0ekCbHj6iCWX71lxFHoolfPXKXFGIEFRlUILodaatwDGpIkrP2/FeFjyXYw3ayXGZbNt1RVhpL
gEF/yDqaeqvR2ycFevR1Llz+pt1mc3LPcgkvV1P1tXxMPCMJ7A3qwpAynRlzg9wRS/fNatN1chM1
vRk72avQes4nabj7ToWu/8lOgjcqJc5lnDjuJlP/VFRxXcEyDYfizXDb4imcq+zQi7Uloql894gs
WD775A77bWxb5AXk5NknV80cCqSe5bTOduHBHW37JK2Ys55S7tGqDA5BitDiwhaA5i4rxXy2GaCK
YcKKPaorl0n+8CysnlhV6nbvFOBLGvSFdDM59YITtHRu2kHUp0yBdhgJEwHc6Uhfkv1AJO4cB6eV
P/vm3qRkKSr7jCKzNhxhqgrso8aS0vfFIe+76vmvbjTqJ4yHMXNtbUz4QWZZXZTttL+tMhgR/DhL
9oXlAJRaKCyPJg885K5fZHMTiDJ8KN3Mey8BA2OqKWdzHzPlXrAhYKMoAorVtgZN6oj1MNN/WkGP
JCFG9VgWHLojNOLmKalScvIDYwQBQKCnSP+4C/6rlv6v1FJLCJTKf62WHn5raEn8+zHw96/5cw4U
Xwg44yn2hcWU4KxFiH/Oge4XlseOhSbq2d4/zIF/k0fFl5U8jpyJkcd0EW//g5R0sJYr/v1Exiy2
aqMokjy+XW8daf4yJRECqoO4CUoyZ8kbuxW1GQdCeJ4vXnGXPmFEP9Zi6l6DynxduP3uJ38B3zzD
gAYCqvHH3tiS1ddQhpoLjFRFOBXloV8EmVajq7dQlfufYGw9Ks/9IGqCQZyNpGy/wyQQV8OC3KFX
049dYiRtA5KoyERqNyX+Ff9/8Ii9LSqCsbqtJabzcZ5AbyEzsYOyrGih6eMkxh44QfWwDBY9OKOD
5lqqm37w9YXMjxs1vvS35iKnr1YW4r9FBb0hBtRuHMMELm67B7SqF88hu2pJCYmmKtO7UWTmbW7z
MwnuUY9c+v0Oanb3iBC+c7LymbPkZrKV3rBtdY+VP79zwdGbZc8y6p1WfWQs5G7Jk+qNjT1x03Lz
P3BKE7ve6f2DxN62lVhed6Vtf445HTLOhKpLXQzRb396t+aFfNM4nxhKqj3djDLK2Yke9FgjBRFU
k6lfX6tu2I/lsteN8RCvz+zJ6NSxtUPJs7kxr2Frla/j7LYv7pzvq1BetDlW18KllS4r4Vkh+/oF
RQdTede31GmRWZiBk1Mc9jrpJrsUNkWMNgoYJ/maB32bzP1TZxvxE7F799YpFixRRuVSiUet9TlO
2+y+b0r5GocWLRLM6M+qsosaX8BEFoK47DmdQ0YWSZ9aN5XBxZdgzKmwYQMFZ9g9jjYgNj/Lfby/
/lw+10Xt3nIGD8mblub/Ze9MtvPGsS39LjVnLoIgCXJQk79VL1ld2J5w2ZbMvgfbp68Pkm+lJWfJ
ded3kBnLYYVIgiBwsM9urtxqZWnnqE0YXmw3sDdhX+4ayikGL4S0AIbZtpveaaqzDskX+3DN4t5a
69Bu2qCiF5wW+YQegmDiK1vX5OYFEkP6SWVflTNiZkcvnyXewcYuQ/pzF8io3M9lWt8J8iWupI8T
hTthr0RzC5PyJqJCh27Csk6qoTiUSNj3mqroBn5XSuxmTgPbUNX3ZCfx/gDkTiRxarT20nFB/EQq
ZUvn8JE9zP7eDUqeWpJmIHxhzah2NT+T4J7HAFrbEcohjCrbFve4D1Zns+ZXouBchp2NG+KNg/b/
0YMBnJ942OdhFLxgt6eIFseXpcbpj/2gPu9rD+K4ZP/Zw5TgFwo9Jy2pRGxtC57txk0bMzy+PxoV
RLpsZjj0RDynqGbIji4eId2lV0vr9k9pu45HMcjmmVhELP6GGhK2ubMsypoAsF/w6wvHUZ/iFf1J
6kEV2OLsFnxyZ+aga7axokzcM5z3h/s+cxHv+YtPnpx5cA0N9xaFq35Q6I5+FgV93lOP2NZ+FyAs
39thPx6zyc2+vsy0zNNcbUUYTfd0cbzzly2dVNj6empCyAGwOTljrW3xiFjG+WdCWIy8t3TVp86L
3dM6x3CQhNN613Uw5Zx4UO4J9t+setQKZxZxeOhAo6k54FWsnyCHpFcQNHwotoSzE/bn3EZ2FtxO
gGb7hBkJxyX0oq+hg25l8tiYCTfmsGaNAVdUZAodijix7uq1HY/0Teu7NsawiZwkfEHN20J6Vd+l
MVImQp2iCpNvkli3dcbILcr1Luh7wMnwCZoad37Mr4e1GROKMDPrV/4vDYIvQQejz8HJaYsy86qv
kquxXW4I7b4fW06mo1d/hfRDOUi2MsxSRw/X9hTfJKNNCqVOTsqs++lN4XlIfhP+7ETgOep27uVB
jsmR8PTHuOvhjtgzUYgEhW2ayNvnvYVWciGzDrOGW80+NmwcWQ9HkQr/1m0ypEAZzl8ja3gugnjn
K6yoharcbVouV+kc7qY52/VRfSYrFd0Ibc3XYqZXgSPfktEpAh7369zkXI4u7IscZSvBdCeg4c1W
Y8SZ7KxOPFUx4eqt84zIj0qOuug8W4d+XznIDaTj/eiEBjTzPpEbzDFtHOQ1KfHRFyt2PsP1+LEM
NFbWqi8PxUhiRrkQmGuVcsGubS1Qg9KY2Da+X98N2KNsYXCsT1gmbDlKVMgtEuy4NM4I2UCbQeVH
mekEYd/KC05x0Z5b/Bqyackvcl88+AuiFxW29OuW0shy5cnEIryzOeWRSkzInh0OZ028cqKH4t6S
aYPcprYvltxWZx0T/5ih89/hOvbFFiURRpjrD2L5KZfmtkkD9Zw6Kj1xp9b+qnyr3ok8v9eiz74t
i0XyRIYFUyrbYGsP0GmjPtRnboi0YDMSqLWb5VggkCF5c8Mpzd2uQKthdNeW+BASL7K3K3TmHLyn
Zi+hWFEba8eIpNdu2NNfrS5q4cNFmfJPTKtub/uRQJ5DqMaEN1WNHYaVneQV3vIQHCBaCad57j26
QxhiIDLi3C2b5ttQ4G3fBkRWcNz7TBdzJHCU3T50aIJhV/XDdu0vJHId7aWNaCI1ywb0GcWtnPIt
RFHrsnO9h2ip4MDxGW6ytIo/k6GKmKKXO40v0wVG+mgfwjx4gmEx3ip4EA8QSEwNAay17V1/OZs0
JyDUzDCC0PJkDxnBshvQ3fK5j1T2rLuu4LiMPKGKe4JXRms8sKdPh7znv40RygHQ21eK6LlPtNNn
LK9aKivJUR97t+CqGZvpK8L04uvkCHllbOK2HhXWBoHGusPAnTNYqdNB0S1C0R7lZRBCd87ii3HW
uTjrnUiQpNKvPiA87dYAO1ObTyJ+1AQlX/s40WxRaM3YHuCNsyUbxSI3KYNm73WYXogK4Kpuvcbk
KGEeT0OkvqoDoc5cr4z2WByU+6hvo8ewTXHQJMY322MYUlUbHVbWlY4D75RKIUeMVbf7dCaStJi8
Gq5ZN/+sSse5FmWsHyaa4ydNotp//NYklLIW7uLV4C6KXq3lIuu31Xqal1Rh5ThaZ3bNAtYIpz2p
I0xaGgSQ2yxaogP6Cfw02qI9Lm7xXfUFitUumq5z37IvuwiOZCFJ72wdIvKGKY8QEnSXc50dXMs6
ktTqb2nNf8m6jnYnuXvFdp5Qxq0iF5s06YtD6dp6i7G5e4TJeMmxEduH2gTCDvTSvaIfb1YjyczH
umfnGoPrBTfDOxh8pAnK3PoidXjFubN/nhS60NZf9CFs/PgwFPSnLEnKSNelxtqFJopNqDR9UvuW
HbS+rhSC+yYcFpiHsO1lM+ODN8OHluvdQsQ5fsaGbRQE2XGpxNGfoH4VAs+usY6f0SYcpWbLwwKJ
/NA0G/azPc9n6YhQB6ZRhCtSdJHG7S09LRI1IZKfLqs/Y9YTEFa4y6wkF3tfrrdhzuoqztVAcM64
z5qkEM0xL6cs/iR9Ykv4hA1ewQMb9AL8GCgDCiOwRv6KcRA6DOBB9DTgh/cChGQvoMhi8JH5BSrx
XnET9m1AlPIFUOlfwJXkFWkhCQzYxQiRZ4AYQ7mEbGGwGXeY7iKD1wiD3ABw1gigPfdSA+u0q0Sk
0fi3aVijfTHYD+Hc9DZDL7tuDTKEOHLZZgYtEr3Ql5NBkFKgpC5enP1k0KXA4EzKIE7uC/jkAUOF
Bo+aDDIVG4zKMWjVAmxFjmyE/9CQfZsMppW+wFtVFJ2VyIXQONj2NsevFwYUpiyRQcbg9RXEc7vp
ER7NfWjwMw8gbTWIGsjwk3KmcYN6trsioHFboP/FBaKnLQkit7yAc9kLUBcvnf4Oc1U/qdzDJtIg
ek6AZEgalK/Lwjt7HFDitNQygIAIyTHGMdDgamxr3bRDHGGQw6Kzi8s+KX9wAIWpUjstEOOkV++c
BJ4a05DkR2uQSOxZyif1Ak9OkdaHoUrHQ2fQS8oXf4/GZL7VOL5sqYFupUE75QvwSba0PLPdkPwb
g4vOBiH1DVbaNrK6WF8AVCRNxXVetcrbrgZhrdoesDUyuGspErYC+wWO5WiItGYi2vgpeAFsyYMW
t6lBcbXBc1eD7K4vIC8ZU0bU/QL+DvZU3VcU/XtPrAHOBbomU5jQNSJ9TtMlqnDa4pCF7WV+lcZY
QgkNc81vlczBc2AFd1k2oS3k4te4H8/XhErgOlWlob6nsdLF0V7XbbXK2qjXNaZAWFEhjqC/iZ6n
a/vxZ9KX5YmSJDt3LY7Ns1U95/MKsLZExHHK/iLvBgjacRfc+qU93sSJbm4hgq+7fMKfZ81cen9x
Hey7SKKcDIPojBt74OAX0ThO6oOVlcFpAXTX/Y9V3v9XuAXJbpDw/9+gD72/Pn+L+bz8F78gH+GE
/8KFDplOoCSqAtNce4V80CD8C7MZgY+e52Dr8JvgQIl/ScRnNoqCwJO01Wlv/er8efyVB1AUSHh1
L6S7/w4EJE1T6t+tP3M7gqw4wiUFlRtNC9NH+w0Bgme+lNhxus+JvTYZhzEyv22UNwS2kxmmM2d5
zAoIA4d+kUW5JcHN837MUdFU0G1ITnMOjeXi/Jq3gcXniRu2MUolNyiZHzobsjkwPLExq79JI2Rv
nGHl2LrjluSaBd8mdiZyCfDBbhSKeBud1wNWmFhPFrRkkIm5C0QRopUG2wuOskdXTU+EJSXsKCxm
K4gO1ZgZGyDUzBEax99e5M3rMPwejCqM2uL30QkJCjWSYP6HMAMTlbejg+mDqHW/es9NP40Yt5fk
9VD607mgIRbCEeOSs0ir8icep+ly7yI74dYc8HGeB0Asnh8+vqUXAcibW6LWFKzApJ4gVgnfm2aq
zMGzsO/iJ/JZvfwSE7M4PyNKDGPyo0m3A04pVZoARmGFHAybPJsb2OyZ3dT5txr/FOARNaCzOKOF
09vJfo3iFT8LTo2cjTQ+VfQBOz8CxsA5uvWv1jXHwmpf0g/2Wohx/QD89PFDAaL+PsxIaswcDOlz
ewJ/yNB5O8xRks+plRfVsz1hV3bnEfFe35ZFVK83H1/oLd4J6spH4xmjU08EDN77qBMU5G1ImRM9
UXtTX++bIsrJHXNsvvBZqsy9nkBHZIIXjFeAejUiVuMt/ZUq+/nxnbxtFr/cCegtSjPDnQWDNUPy
23cnoOPb4Zz5TyPOZv6Vh2mURsBaWpiVndGFW7FD+viKfwwylBAidjyYBrZiFN4piywRW6oulPxR
DK1BV9qlsUZDzFsjPL0/vpb5Ln6bpIwzC5crQkgF5Fqy/L19OqTMRU58svNEehwKk2eHZm6Cm0HD
Ue+MPA8zxMXiDwS6fnzhPx+SOURAp2/jUcei+47JANm+78Is73/MHJhRH2aqCMbbCFcYRvfjS73r
95tXSLaQQ8OeTFsWb/vdgGZ1LfJpdMonOJteqU7wrKgeCszTW6McQjTcXM/hGtnlRZ2iV7L33pjk
62PWq4YASyzhcdUhFS4iTz3LfCVJIBgrp7jIR3b/5WSYXBew8OOb/uPFeBj90X7AsFLYgkbD2xcD
9w2TRHJPflSLBvHddFaYZz9HsVje57oufYSgEbaUOvrbYP35YkLeioOZASkvDjK8txeOLHRs6L2s
76tnCYdEAU7XA8ypoEk6eyuQTvQFan83V9+WpMDud9d2XReiCrJmZ7xPy3VCW5kQ8ai/x1A5w4Os
fLh4HiEefbD7yygF7z9PblB5L58JnnMB9J+3t+vFnMbLoau/oz2ibwJOvuj1hmzVjkm1LnRvx2PY
I0G+smSU8jX1leuyGVSk+LFYhohAlh9MwDKDaGYzMmx/OKsT4yLcOvv5ugAjjWF14Ywd+597eKkR
4ZKlypmp4E0m5LTqQNX1rpL4QESbpIzMEm2h1eaCzjIDn4O46/nLupgSYoNrCIZpOwdvdhZ5e039
Njs4Ll7yE1y2idR1jGay8tmfwGXhSeNCst7w+Yfe5wqO7vrYoWbmHkWThYSji2oQn1ENNxlydizb
18dVSzXej13rj7d9xr+ZUGJlrCCbJEETBCyUcH5uNyVSXCIzM9lYfOgcNWoepsb7FWuUJamgo276
KXP4SR9ZCD+S+qovaZCMc6I/6UmVbGZLiwOF3vYdyqEFSU/IpS38H/hxWCfmala8NP6VDPO0/dJC
chxPInds08uCYAWo4aKfq/OktZbhbJgHxGDbOSCAeyELIhXLeYDhO5ulzXmKf7RB5PC1NQGUGFTS
WHvhPvHrATygOx4VGUzoZzsbYwYG1LMrpl8/x2YRK0okjOWe/D6ff6SqWcpsS4hsRszL6yC0TUuU
kEwjQrbBRQO0LhuZrB5jMKBy49Jzk7A4LrLmmeLXUXVzUl0koBtc3O5kmjSOF4SVDyTEiyQ0V5SW
ompbmshnWJpFtTweC72ZLjUJvNlPmdcVkyaLSA+9rVB6K3XIJOQmf9N4mcM3NVZhyKyJHVxTCYCd
MXv4iSeMiNRBxzoP5JnlEsTC2Q8xD2m/85iZhHoWRhHdBYXtMyarGoJiOo3gmSAHRVlqardMzEAE
uwV5u3mIDOBjvmwJu6KFVVucX5INHRdWgX23YnxnTpyRmb+dbF3+BPegleMZGL/Lb6nRH/IpDBk6
3Iw3r8m/3HROrbklLDXNhaYhM/fihglsuq2vcPT7sQQtfsQ7ufo+XBd4adxeVqaBqdsiMO70qidV
2fucDi5/2IYIHritzEXtRuDMWDKCwzwNDOeKDJ7fVFACuieZxu5D0YHyzRQ1pfV43wQV/9+S18oH
rDLN2kDpuFJluFPKd750y2oWjwTJ/LeslZ35pGlO8EvRnQreBBzWgX/oRsjxXsErYRQw0Wj65QTj
+T4rL0fiXfmFKIDxht/CJhrMrMYupdO7Jg9X4Z3gVkYvZpfZ92HipeG4EwGsUVampAChhq8PTQar
yUYeNLxe18a12cRTxGQGrTfessxM/6CHq4g9GE59IHOwtmqM5DxvRPiQQNRogVCjTKbXtUhSnIyo
1c0bBgZYMC7G6LEfrdO0t4t02cwdCF+/nYu+t6bzHD4D9xhZPe+mdQNMp79Vvah4mCrKlri+CyFf
uNVVbUj4Acyg1MUtkIWY5WavCWGHJx83Qx0iIKBun8dN5ODPe0Is7uDFZPbmLLP+D+w+LRf0S7gL
zxxmEGJhTXTJnCQYf9XJIBThdrDpmDzYjZqZiL9H2xxyIjT5kz3MoL1QUdI2j89xllj5u9YZhw7F
midZKgE9GaVdmfM+qs1sW2Jor/rJd1hyM2zxeEuVoNuf7GskLfyusLXNKkhsbsjMtVPsIseDrZuJ
n+QIAwaCn0lk1qXcRrb7KdR4B2pmyBCzPDXuDCv+HBM3VoeRUeRbwPOkZ0KNaP3w4eTtt4t3Hiwx
Mz0oEFrE58lsDVzaFcXM/bNcsh2NSwOPeVdG2JH0+8AtzCar9dAyHWekf4BlKugW1oclSCz3eoYL
3yCFWUrSiJpWE0m2D+qu7jbA86bEMi4Zy48yaDmN/DqHsOqbwZnqVtbhMYfj14b7OMnAuRETrGuH
8yHe3rs2mqoIRTdWjHdRO/PwWIUVrPZ0vxV3rLKJHvgBJbHiw86GlXIa77HBjOCvaV2mYHEsMi5C
VGe7YsHAnfu10f5uaeKwaQmLWSn3UnVhN0HfL2Kb79MiaFtvMW73FNY5iVB4Q6UsuzskKETJYJIk
Fv+rVU1Fd2eXc3EfOk6I1U1HWEp75ld4eR38ehyaH4hAW+u8Ix8LEzfuFH1u1aTtV8h2/nrIVVUX
T25WrN1taUyIvk10r6frNcTXYoMFnIYKJL2pwbgvIwm72baIHno02ZMXjFddi4MRdselXYoLWbCt
7qNAo/tteUcdi/wctKh5kmrskD9gWj6akn7tpoXoCEJ1nHDTIF3SX0JHDO6dX+jFjQlddXPjGV44
S0TLLuT50YstUawx4WYnK7aKZIZ13YUpIU74DDgrXCh4Vvjz+Dq/nOhAN4cxVDEkVgq09T7G4KRm
4/M1zmiQroKNdLUjtotghVs2fqxp3Fi1Y3zulXKQuXtFfKIcqXfoPqb1PEJ/ah/FJBLnEDWzQHmD
i8CKv1QkPeumgS3sPgx9iyT6aDeotJGQ0COd72c941BMcnZl3bqW26+PumJW4ynp+2gSFNIWOgza
V11zxJQpXmec11Tj78KZLt4xSmFfQKBwAzy1w7yWTrJVHT2N4Lsos6B6ShzsiucdBj5LC0vWkwPW
c6qpFS3N3tP2UUdV6wXkpNse0r6otEiahhBg5flx9BvK2uQ5CTC3x0+2DvLBofnm4Y3rA69racVX
ncPDZDT4X6pvWj+RL25pFdXkMU0Y8bItNSXKM+8By5imcXdNNHXRSD1lx9Qoy2h6VT3iCT6Ybl5M
rYkmHJbfsZOojtlWQhYSPu42MOVjxwbO55C4vlnhSqhBLCUpSW4iOmQEKcc0N2TfTMH5CsRJSeqh
TmfrgWmascvoyoud9bgoxe88DF5tqj+f+GTWFJUJky64YGoNE3loy9T/jMC/4lZEY6k8JJFYgzU0
Q+uxTHp9T2Uf5FDanCPsJKrgyaZ2s4gbmxrWsixA8TjBLJ0imvISzZS9H0Xlr/IEIlVBSVQ5nPit
UxTvNg9KXUJDjyZr2ZkFsSwc9ugJ5julCTbRmgFqKmV2zqCdZu60ixPFtQe1qnq9G12v5e9q/B74
ZTa2AHxLvVd33H8fZmadzF2FmcaWzPeQO6qiphfdN+R7pl5FoMVqQwO9879PWFXVB9/JVHUR10jr
xIGkB1NLVY0yJQtNFjNGuq58LX7Sjl9ymt4En0JwYj8EN6CjTTqDYXt0HsPPGr6YEukF7vH70uxS
v3Yw0hgZxxzpCSuaH07m7oWER2VtG7K5w5rUcQxmfxaDxcCyzGTmDoaeHk9+8l8jsbZ8QoRqyZWK
VFUJv7GGIoovbC6qJUDChGEWQ5ba1AG3XjlH3ueiE2BPr6+RDVOIR45/g74P2mjmiSVWIbyjoYc9
CWM4zkfMp9cps6Pwy5ij6s5PEnph5XQKl8gf71es/3kq3CMM+NR1RAIlpwTsmaLC1vDTp82EppVN
MfBbJksJXidmYqTsTumdmztUKUhjTTU/1g2uFCd42fVjcINpGwnSF36kbO4H41PzHUjZ2TzqiFBy
vCdUzXwibdkawKvKWn4gGl1TqAlE75/TlvZGtYGanEJmbx1VUGeTpGZ212Qc0TpCeIcUDLlFNlSB
vuxMval9Mx+jIsuorGHocNSOVqREy5Z/b36aqqRbb6YiUGyXAs9l9rAkwQcSQNVHOUAxLxtzt6+f
R67pSt0TSlXzUrueha+8kHTn469jMMUIBjyBcwVfdctcKLYp1uh8Zy6UM154UTlhdVlOIh71Li76
QOAppstSUtRONYlbWwTQJdeib88j2M2IIiDrhSmtw5Hm5m2swrT7NnaDkb31+dBgAczZ0pUX7iQ0
LK/Ic5hnpe2YQ2DWeJzYbEELhM/IDSkvOXjynvXircu5nBzOT4helnk8zo5s829jIohAQ6r3Uvn0
sT1Sa/R1QKzaEVJITmHw60QcrFVIYTDHsc3pC4dryZ9izixkoFuWNf8gfoD8DNsitHkrkybhODIm
XdxbJ4HfyOEec1IJocqaBOMPs9gcupUfmCqsm2mSY30VdqaQjxGrjvdRH8W8NY2fAuX6HGCEAUWJ
XApqlNCrYW9ThLAGrKLluHdKe7GayPEciYSncObyQHswFvi1DWuyf9Iob4bGTY+XqX+CZAgm+ZIj
tPvx+unRiTalVWGVxjHdZNb17U6jozMTo5oMfmRFcjFTUtnBVF3b7jxXLQOymhO3RzORgZyEMp84
p+W4ufQh6Ru7BTq3xwir/OGTP6u1Pw2GWRQnARKKvmNjw0k/5hCo8d08+AQy8GtCV3esVVlbmUrU
qRxW8e30emrEOSLnK22zEQ+XSwr+gcRNkCun2GOPZk6BrweLAtk1N12v2NfiQU4jHJayDohuP3NH
tLx4pE4pOo7tlFQVrzQVg7n1AdIhrciZDECt99aMk+WlagBH+EGcEtebhaB45prmNVoY8eV9Sho9
EVr9SmcggYnwTdY4gIf75XXlQLlnCl2Crs2s/Bg1+g+YEUItoiVo6Ch8Dd5hRljEYHkUFtP3OdLm
nGlc0hNvZ6HtLcJNP3Q8718u+R5VA6YiQsvDxcEVZKe/x1nxnakCWyPZ8PzJdG9ep0YRYKH8t6f7
81JGoWbywWkYGf3WW0TMSfBEGUEnvqduZNan2ncltKqZxZq16+ORfEEDf8ePBdCxEtJzlCtRf7yH
KXtb9MWEKOj7LMuBg8yQlOTDbz3tJnyGuDMI9sLVr1k0hsr1EPwMY9EG+IlrvFCuQCFMZyPkyGvW
nteV+Vfvo+pic0SolNezJ9DHn/jTx7f/x1BB1EAEFgpkewJRnfn737D9GR8fTKaU902nhF4gkbA7
cyxkc+UI9fGl/phzUMUxykC/F4KrBu/xbsqo1IGp3XwLE7Thy0m0BNn0KFZlPhE/iqe/Trn3LRSU
bQIbdcfjmp7zh4iPJjZccfD7b42bmDVKwwtdb4aUlf02dkKzZ0Uh9T7FxMKfnwndsLtrVrvSO/34
2d8PM11TzzO9DNqknoCg9XaYJ5wexymM5VcwCY6OS5KAUkHxNcf5j6/0fpQdT9o8LZ4IXA1w7B14
nVMYBhLK4lfoaiq/1E1hjuZpxkntZEwcUzV+fMG3riU0TTzaYIGgyevR4QM+evtoOgtWFpOl+9pB
62UGdaSissyxKEJzh7XVFjNMZ6ihSYj4GJvSZf/xDbzkrf/+BVJqEfxqIzaA38KjO2/vgFOiYfqo
6mub2Hhw7ellrfke1CMJMVR6KVvGLjGlse/ioExsxisobnlQJrA28nG/SE6n18EpkR4yRkD/C19x
7UImJbKHPDO2hD6fXgm9GsHNJhW5ZrVWk2c2S4JXoTOhYLH58DeS1YlaRKsB8EigOyLGaMyB6PYB
xbyjT1Nayxhb1rllaqse8RSLhdU5ilMMoieznaOeobZRvTRbfNN0DbelXgH6ntKeVTPPHVM0ZYF+
qfgcIpSbbZSVJC9t7B5RIfBYnHUgk844k8dMLFIOLPvx8P8x4ZSLGM73MM5x8MZ/P7UHThYJhpzL
lzppCUw+iRtoh/UuXLWpAH5B1h9f0nwtb144S2340qMJ4AIowzj4fdGiUbbotg+mL2GMiFnuhxSX
uktUKE5uXdm9zR1syOMZOETNgig8QNiiNHfz8W28f3IpUUezchr1Lt/ce//Dym9Rejg6+ZLXwJ9n
adnp8sHJJ6e7cHp99fHF3q8gSJE9JUGKfHJUAtd7N8kxP41RgvT917FtsvXRy5SZFlnWmMrq40s5
7z5pfjspApDAfEXnTUr7XXUQT3iKEIvhPBD3jclwBHypMYoHRuWkm2YTuwMJ7GvJPxSADfNy9mT4
SCnsdcGmAdYFguHIY/r3zSQL6lCxuqZQT2NOKIliEfiRkE5oYK3ZMjBAoP2aj3AMfAMTo8Hjp0dL
SB7Oyj32ojiGgsiyMkLK5FQl4OG1p1gGp0txgF2Mm8rHg/BuvBmDkHXF5jt1Md/8o2PqebEOS3+Y
H8gNNjsz4b7mk7OmmpPzx5cySqrf57N5pyxePoQLn20RU8238xlHajBV4Ub3gVu/XGvwgE4JNDSl
/sBSzxL02nsvIOkwCuT8GJT015+6kbyGlAOCzeB6rjJ4JmfBhpXOKfsIRMGCNmutFz2fKjmReMHl
03GRAwemPdESHI9TGGwcS341/ugWmSaSVWQO384a2Ct/N9aleeErJijeZ+ulO65eoYlRgIBiIewl
5k1mgqoFg86Rhb/e6S41wPKvFhpfJHM3o+fBvhdFoBxyswh8oeu/7LfB29enlIIIj0UAhCWPvdCz
303hlieAntpEP4pRqs9ZhxvwwaE9euLnQeOC8SeYALpziKQmLSJMcaLqpHTy4nGMU+TCVTBUNE3x
qAsRovYboojbh4jza39TzP2YbJNgRF0bZp9KWm0/xsbtybzqCCXe0svxr0cvqs8TLA4v2ZESE/aY
QK2z+kz+s9JHHs+ibsIyp0Fc6+5ADfNHC20Zh4MCQeq2D7sbl10pP7iFJS/V0o073Sztnp548QjX
1z3DhpAuQdZo4Lw6n2jhaVF8hTUBA3LGkHgzrK0tdrLp1L3D/vytIT/d20SdnwBhxISdEwhQ3U9K
Do+plNBvA9tyK3ygveZLPoT9U2E13Z3v9j1lUTSc4IKXHWgTLA2UeZrLsI/D1NoMbjmeFRXalCkc
AWySLPtnCHzcJoNoyHEi7+r7FUP9HeWnlYD2We7W9u1PrkZChGNn/1Wo1X1IBm/YJrNfnueqT5Gt
Len5xx/Z28WaCUFbmcXMo1TAmYasw7ffWA38ozAuqJ54X/NN6ER4pflFrfEB72z/4eOLvf2gXy+m
IMqZbZ4a7n1Fgm0ZpV0XVk++rUo4QrN9D7Pa6TdlmV+OLhaN2zmuy0+0CFHLfnztP2b+y2PC1aFl
wyL+/jwyeH1Y441QPkF15+AqiyaHkCpx+v7LNvHym/69Db88pYseirovFGzI7w+RMzlzzghX5gmL
Sr4Z6bBd4AxaihRrg0LdIl6JbtM+srAvKLyw2cmRXKrjmHoo1woN7Quynn/d+V14VlnE5bHf4sgE
rqgfy5LixdFV2WwcLdxP9phVP8tBBhcV8OynETXmP2HGORV1nLCbbZzH17I0yilLlT7oTU4vTkwh
wFoXLk/kZmhaCUN3ELFnf7NnLbcr7+8vtdA7Eh5DYsoAyiDGRbJHvy8JhKX62cVK4cmFaYxlXyqT
o6yz4mRe528VvuRfpBXOu8GJaXq0pJKfoOzG6+LjKeCZyfzmzShD1sQa2hEQx3z1bkMReVTSPkjU
UzzQOABOI89rDnBvwTy4WPVudMv5RJUa2n5qNSXdnro8qcGtLsfGHzUqh9i6XkUML3tdAM46ROMl
zvretsuty3Sp1MUil2MlS3kPBlpc1xYvDXN4yPzbVc+0XQjPiraqCdUtZeOIXz4JpoufpVdSNSlO
gUCeKYm61+SnFHpXR/2A938yPNioaT5ZFYRqtCJiOkhHo6iXXRrfw6FOMgxobR4AJ9OQ3L2YFoDK
2oxGCHviHdIZ1KLJ4v4jQLWjDU0HbLA+Hlwzdu/H1gVdQNnMaVY55vv77cSMKSHtNVtFT23qeldW
K7NHNJ0L+ny81q8EpOy/HenEW+Irs0pxzIJ1Cx9JQsFz350eBXLSrmTrfM6azD0DNsOCJhoW6xyg
kjwcQhhZ6b24e2qkXTwSNqMv0jS0P1ljKA9/efo/pxalJsunQ9YyTNz3ZMBuKr0+iKvqOZ5pMHBu
r6Ovdbci6yOL0Nu0RKGCcJQ1+kPtgRXusgTVMWaxKX6BUxhuaXhiRdvV+D7g7YWMJV2A0CurTy4J
h+pPWinnK39I4tPYU/j1kczhkDa6CIJG4sYuIaeLAL1euXrNEe1Yc8hybV3idjPyA5OyLvw+WW4W
TMgq3KbT5hBP7N5bEivyi5I2LxWlLBGAFG2BGGgkTm0/0vR89EaOptQi/Z12CA3FRpDkq05BlzGq
JayPfVC/GxmmFS1XGHUErc30lbRfFPG2h/twOTVh32/qlIyjLeNXI90L1NQdbT92IPvX6Wd0BPqn
mzopUM+Yobr8+O38uf4wU0JIc1DXfN7P+yVZOnRC83nKnwN08WqDi0/2HZaHkV3zyjhTqae1N5mU
lfV9GbOJzGh/bP5maPSfJmxgKMhsfUHogg28/UZgSvVlv6riOUKrOexeXoi/YkyMlNvX5BmM4T3B
T8MB8/Fo34TR/CUJOjyTUYOJ+7+MyX/4YHEvAFtm6YBr+Z6xu5bDNNZznj3HyvbvWl/0t05BXpAC
2D1nXxyuyCzWZ41blafFLMWlrhQbmSr0fJOqJICQXE0jYVSD/AlzvvU2QZvmd3+5yz9KBoUdk8SQ
yYEzzaHy3ZCNJTkoYesOz6DebfxAZYF4DCQR7X5vj1eOP+b0lBDLkUbeefXPBHE5ol0s3qYjbm/9
oxcW8YWtpvzB6dyBDgm7wKHLuoLhjjO1RZ1j/Zpv/+Oxdr80z//7f317KtMKv1UOKT/070ENuGJQ
X36gs+hSPqi3QouX/+S/hBZ2+C8kDJ7klEKx4BrLr1/eGkK4/6J0gxeMx9mLF/G/PdYUHmv8V/BN
/q9L8S+lhURp4ZCTyq8zpFkR/HeEFhSpb/Y4zwal5b5CDJdt7gdc++33i7V8j9G2P12ItIGPw/F8
ogcM7cPza/u8bsYAb++sVXTIj7mDU6L9j6YSFZwmm7K/J3BRr93GQPMYcTMHmynDmKZqm+AuhY+C
cRPKPmzzh20zEU16cOVElB8mRstJZk0T7RHOa045nnYDwM2I/EsPlW4uq2LJqh2yNI5kYdBUF16U
zWdsKKN9SgrUcrm4UXQPpbShoPQ/W309Hqd6VPHWRqiNmq65yEz/G3dY7Bc8L3fuE8Sq1TZNBowW
IJHh7cBCFO7/D3vntdw2tnXdV/lfAF3IwL5lDiJFKss3KEm2ETbSRgae/htQJ7fPf0Lfd1XfnFOW
aVIEsNdcc47ZIzb0IHQmcuJu6g53k+ycN700uWcz/3SnWI/Y4JnRfDphAJ9ZB1aop9t86EjKdVXq
rxxRxHs3C5V3FqwAcVmOOrgpjVg04t7YbJtKkv/X5v1nlNlyVzIVbpKp8ljpYedpF7mdUAqWdUF3
azoBZXj9iN/CxUKzZXJpVlFd8yALy9GEWxWOEwplhp/OUd1LQ5j+KZgKVqxVqCD+svIZkDEqhzdq
B3prvrDsVTe9Y6Tb2nSrtW3Ibu2GpTJY61c3PZ5xyCi21691xvWSol2YKS5+rieRjMMN5zJR0wSP
1XET1eTxiIQZMG+R9vUrDadrE8BQRrSTYK1bOAMSKf2EgKGTRIMel3Ueu3G7KlYExJmE3S7bqSKg
2CzsWh/IRd+v+4ba7yw0O6y4ZqPzQYclDUXzwuW7F8T62+QYIIocrsbNjC4j3W2Pb5khhLkh2Oxs
22Io7428io54YtIXbL3uItDRK5Yltsxd2kWhvjIr7zbLxopTOQ+jChejWs7ZUb40xmB0a86Y1MBS
Kr1m2y1uB0eVMMMqrDXKDg8RDy9vUViZxLFkOSW1yS2osUQr9hQ9m/sm87IV6mnwhauhQlnAj/GO
b51miLFuOrkNG2U+BGnc7vuKqgUzZaSCcB/U977dfZCn1VbdiFQc4KKipxNA8p6zhgVbP8Tkugxd
37jJXCQBGTkwFFzL3OIWpj2CJgLDIGZvhjBGCGsAKVAPDia6s0LReQfTHaxaFY5PtM1nsKbBXi01
EqvJgqZbjH6lVt+OxZCflUOUcNFQEDx3IcV0x9VytgAExaMb0p3bayLf59RjPTdg3Whea4L0Tto0
Q+PsK7ddk2Ee8fkeegFlAY4t9StGnXY5YocSmyK3Od/5DqaeY1n61Ns7TXlbZYHY1K6efssNOe6h
CRaUYyuwNcMoYFM0Hwl+yxXA7H7p+DE215SzZWGbb2xtn2mCdCgeDBm1RGd6lVwpzsdhChVGRWXr
XvoaSD8vKx23Hf9JH/6//yl9SDBKN//TY/EEunz+jxLeH5+mv/3c79wp/xdD58zIrPNrnJC/8rdn
ozB+YUPjWJ+lRn+AR/+IGwIaNQCPzpe3jXjrOX/rKfjXAxkRL4eZC1XKY5es/+u+utUbP6JpMNyr
IZ9OuHGIqePxjOfNAr3UehhVHyDx1UdpVMF/0RGQff/6BObVZ1WFJyTSMMrKz3J/TATfkWUt9/RN
TCfI+dNGM2uzXaK682RpIn3XKO5+C5Y+YOQMNZcBd/S53BR2MT5OQYtMXIQ1Fz9kNcDawhiLCsCj
OVyq2JYr2nDIHpeymsxFncQttsbYG9t1Xs+teISJT1gm9R3/yhRmcmQP8kznTffNS1je0s7MLbeK
LFFjQLfcO5ILHonjYNj6fT9cJo9/b2lBIPA6Ozhw9+dzc5nQgYDYDuabPi/fLJFPG440cpW3mrUf
2xG2vxvZWl7u0l9ZfEYwtdrB/4T0jRq/pa8d5TDupqet2HzSuyCM11kbDhD+ZKQ5r5EuRqgTjD00
39DTjott0TMi9hd8UMACvRDv0Rk/a+RvCjkaIeZF3d3oqcwUnWhhpvPkqbtGpyQcLXFPBw1/MiTA
AKSQAu186yrYhaE2YwzdT6QhPYHgDQ2W1xaNlQBS4BotMjfQPUIuefieTWN423ljsS70KSU87eHd
Xhih8l+gPDca1ut+WENQ8bYtYLyG/4Vdsqs+nER1Z89PqFCVemjt6DUwrhQpFas+CLqXKr1SSpFu
syrTT0btp1tfbMoKg8qyS111rLJ+o2xVXlQEJZ1bKmNs08bFUhsFBenuODzK0pEvejTS9Z7m0dJy
2mJJD5fzbS4uvvNrQv4036gVLQFiQ41RvG98ypdpcJLYkCNi9l6V7+FVQmAJ0p1pGOldlCbyCt+D
yRrfskfjtNpqRg8Cu8j3gxgfvLzq6Bwix/HuFEZwl8nIWw3w6OmUdbO1zkHz6Olpva5LG+rkFKeP
RUdVuNKMaIujSXy4oVQAsIMqucDAUm9hh/K7HMpRPwselHgNE0Mjae7yU6Oe69eqLonYKOrrLTN9
SLTSfIX/U4ZLigk/YtOdvYBcVHZv2ZuAjul9KOnbc9WQ7YHOf5uDHm/TAGRClADAF9wTmjdst2tq
raodnfH2Qpb9sbMj5zaVgDisbsJ05oZBsatCW+4L9uanoPCM1wEX+tnw8j5YmH2zJ/2X0ng7imVr
F/VD3RaImDBIdhJh7dhH43BOsYXvsrB0rmUZGee2K5MXFtvJK79RzplDax3bYkpxH+XlWU52+lGG
jRvMtBTvEFfWdFFO091kjSIAEJcQ1uE5eHckOLN0oWk0VmjWEJ/8sbJoWyAjsui5JHYpxhBtMUPu
DrkbWret39Y39IPEz0NNP9CC565+KmUXn8j5qIdWtv19HLvlATgaINYhFq8FeYanqnObI0keoa2H
1ksONG1O5sbIouzCFBLsS0xW22bSw5UOH2BTqc757hDa2tpM589DYspVKLQ9wJ1s3zjBKdWLnH1k
hB1dOMPayMO9Kcrj6Oh4FwUAUGm3XxFZzAUkt3SnAz5b5E7J/tGAvwU1jANWpA+raXDVO/yn9gia
N2aRNsZwF+z+mhSOOsPyGHfgkK0rcdPxpQWy8MH5pLvygQS3Q1G2bHFGYwkBOVtxnaBfZkOy61Ob
+k87cUmVtYV8LOMq3fJr52rRerWBrFR+tTS32U5+NtSLIdAt6popY1Rsji+eQaKSUN0ITc5EyvJr
x/w+mZHQFlCIKG7TR7bqpvEAJbY7RUF2KTuILWZhhi+Mhul2cgSuOmuES6SPsX4CTqKfRCMF3VmZ
ecW72PKgqEdxw8k+3Yp0uE3BZkBr5UI9UDNvryZbZNky6JthH0sjPJQF41boU7jMh5GfCF4smEC5
1eRpftRcJzmYyjbuXQIX5lJvtGBZY5f7ID0xVLxpn+rWlvP+rh5r9S6hzA96IgGUSAEIpzC/JPhm
9ynF3VtF79yDgRUc52bjnSk/AFiKLxIzL2UDjzVGu/PgeNOpq0vtrSxanSea0d+lcQGYhqvHu8n7
fvw699iONOMoZ5fnTn/QwqzbBrXRnbumsg5mauYbP1bqqXec+jI4Y0Aeo5u2Fk16V55s5asr2uLd
RwP6DmkYlq3b1MBiRPi1h5jLZmoSi6ApNzhBWlZtNUQaA+6OVszcXKHV2t43JMdlvU67tzLzDUpm
THbgS3c2EKaRrZ4CZtk1Z3g4qk42H6fdRH7PbQOKvujUM+qq667tIszerTD0t7kaglNrBP6xIwu2
oMSg2kfC34GvNCH4mjzfFinF0+cGt8Jt4mf1CSpys27JMh5UAWY4aGAFJrZ0zn3qdQuNSppnFuAu
5DPR1cCitAEWkdW3V0zI/s2E9/qbbrVpuxAteXJ6UVV4TPtGe4gix31VccGth+ZyxNlaI3HJTbt0
QbQEMEV0v7j1ZG6dY52VapsDDpQIkLT2BGARvKb4/E70sbU0Ba0LMyllOQBbfJNAHTZ6bL3ZbV2c
tDB37v0QBrWhDxalB8LmNjial1FN+jIM8tP8Czyo1DK2iAPLjvL6FZ2o5qn1m2QfmgXu2CgvLkVo
Wo+e33QgmrV0o1QxI7iSnEJs11rTQQ1mR8aQnAqrhCuk11cPwN5HE2GpXRhNCfcWnMK9gXawgfAC
Dz2qjAd0h8gm71vaFxkoKBIYbMQ1DXN4mREP2V63bghw9nMTja2fWMWecLkOB9GYVAjGmvoWtVhH
YPL2Ysce3Nt5WkIKKK1H0mVjfSmpnLzMBTy7JDLN3WA5OZ6kWFv2/SSmbWBU3jNnAfOBESpBIyRK
/93PtPY1o/xkQx/8i6NSb60l4mphl8UBUxDgWnBOqXcmtzwwSE0SHYgOa4jBZh0v2XcQ0oGEOn3E
BIoBU8ZBfzBbep8LHm9YfkO+mnYNNlI6F+IEcmPEPKxbzLosIfzKS1aWmjh/0ILZnq2QCkAyME+5
XmW3Xd/RmhhMur3leZdvOpvlcNpo40aLDW9nFql/i5dv4Kngxa8c0Nx6qSVAi9UY7Nq5kTuMJMVJ
uPNBhJPHIVUE2+qCdYJlPHkilumeXnB87UDFU//U37kVldFAU/u9q4/5bSNVz3ViuRVfDuF95eAb
rW2c+OyiuK2w6OEwPXBSJdRo6v19B+P9UZdF+mibnAHtkCIAGjWUui1lI46TdDmthE6w170SCg6F
kRYcqYIn2MLvgn3cdtWElmElByIMApQnEz/btlAUu0yZYf3NyhKPANdCNqPhs6dV/k3Q0UE/NH51
gCKqrq5WW6Dsq/EsVGWsyA7PjaBqOER5P9Hd3IQvyMHHxHYfQpcWydYE8hg7Bu/SPmQUTX+J8W4t
qpGmJRW4giNZ5r4YYO72UKDm1UdkrRSBjjVRircqGt9jT7tij0DLisDgppMRAaiG/F40eb/VLXb3
ktKsgRHhGKdGBvkkfOTXQlXX6NtLMoqfdNwASSu+7ezYOtWO/WrM5MehgyrEOi5dSelXpIRSPpis
F4s0G/EKEEVg0QO5EsactckRgCJq1Q9+3N2yzTOf8AGxx8S2nOEegJQGr4YEHWkusHJAraZiZPNM
3bJHO9YC0pv1OmrmsCWIQSpf+AReHO+W1la5LN1cnnK+fm9a7a0xRwcPGX6GXUkR+cExqWhk8ROv
upBG7smveMzVEe2upedv0GsA/wLqJTZExVJZNOEZryBPdpmMt47Om0v8dB1PCB6uKisSLqVX/5cV
z7+OpS4WTwsLGCwOlOCfpNkosKlIb/14j5DJWKcNXnCoJp+7NGgy997WcyZSzlJ0L7W6/G+L5X+Z
St15hUJSCZulC//kr7rwFOeVO05lvDeGovqYsNXcsNGPKHsV8u4HZeDy60L1R57NvEb9c806j9/M
M6hVSO0o3v/i8YtVnLhDlPFSpamAvRo+G/Oc2O23//w6BnLCv7yQjV0IwYEYuPuzLVkW42hX0gv3
bRmMG9ZQ9t5tB3TrPG4uqpJS3HQCKw+/9Oyt9ADxcVcJo1stiObhOoj4133+k/7ZqvzXrYrD5vs/
bVUkCeu3+kftyBDzz/wuHQn0IcfFkClsPMkUOf4pHdm/sKwWrmtiwIZHJPi+/a4gub+QHCQHYYs/
eiF/X6tYv7AA4U8z13rzOuRvKUoz8vwv3zVsovyHHc0zDDyLzs/Lc+K4JrJoa/ME8/0lZCNSs3kD
UTeIhkM6H1opU+D8WsxHWYqAvRsoe5xv/fmoC1ZZ5zjN8TcFk3ySXEPkvwLrwUWYpXeVO9sqrG3v
HKVdzYTXxQ/EENOtnA/ZGU7ZL0UZ+NyzmcPIzK+b+VCO8TiB7Daf1DF2cmqv23L60EsJATkIXQzc
gzTv8U7Lg5gP/cF8/G+tekHuJj8VjgmIIA0ySmIpfTW6ut/nccYMkWmuRQMwg0X2OWMETBsFCOdt
mfriZoSZSCG0O5hXgmniDEAAEWMeWrCVML90haU27LfTrTGPN4aIQVNq8mIMbnsKmIGmeRgy5rEo
V/Y8IeEkBCA78sSfByj/c5aq5rEKrY7Ov8QjVW07TF0Vd8+tk+rl154dz8aq4OWpeVDL55FNfU5v
w+cgN490Yh7u+nnM0+eBrzHM9rmYh8CmpZmumQdDcorjSz4Pi+E8NlpjUp1dKxmuIGZgg5pmvFGf
g+Y8cmYW5ymgEt6m7NJuy2zI25iHVHseV7t5cFXzCKsxy8aVA+OC6dZkyrXnnGEbk8OW8whcMwtn
81Cs+do+lR5jsiqmZ3sendU8RIciKdD1mvjYgHTdgvMP9rRAZxfyFkzgQmMOw6AfaGsLe96xnIf1
cGRs9xTnGnZp5SEo3f6+7Hr1AF43PiEO6Kf+c/pvZyEgaOz6Jmn19N4u7HKb4ZkB9U5CeucMqYcg
By7+OlHKeaI0eNqQwk15XM3iA84odIh8liTi2upu4IHqFzELFri00C6SWcZoh6E8B66b7sZZ5HBn
uSMr3fi19b34Rc1iSD7LItkskAyzVEKCzjqas3xSzUIKONr6ARCwWA5Zne45G+/LPEB5Ebnjn02F
CpTPwoyaJZoYu+yOTkqbjrxZwuk/xRyOveYs73QFwGZNZ6SapR+iJKhA4ywImWXgvSk0ImcWi8Kx
pGGYWXhfAIbY4PP0V6OXc3pBZwKci+Kkhbb56vn5Q9FZgBlmYWqaJariU62izVQ7OBp5IJaJvn6O
PpWtfha56lnuQgZG+QLoJj7iwI+2+SyMhbNE5sd6Bq4ObItOzOCYzFJaP4tqbpu6KzLm2b1n1c07
dg3UN+i7D8R5OQgjzNFWuSWaRcDTpaUO5DwCHj7/9M5B03PHvjm4wZTvbZkVq7qEINzOImBTCJru
Ae1uRmDMKwwTwyKYZcOyBtA3UfK3tCS2rGmWF4lXyhey+sOjh3vvWppZseQXiiJZzeIklozyolXD
pp+FS/WpYQqxcZokY3RHaCJXhkKQXmn/7l60OV0gZzE0mWVR2tVRSNMej0Q+y6bWrBxQF7Tq9cHb
FrO42qVGq7G8s/yX5lN9LT+V2H4WZfNZnp3qQm61oYFtOY4OQnY3uIImJ/iZYTCu23zC1jMVbeuv
hOgeQ3jQtHNKHI0pu1Vuc7jqFqKs9CPb0/IEglRfGwadoqbEDx+GbNPiVACnRz1eCvhay1SLnwHG
6vuUuALKcKKoRZXFe+pGCPFFJK5O5rv7unYGuN6EGK/x3LjqefmSIGf95iYep1sOThe9djPgb5ml
nzsfTLIfZIgmpp+6a+Ky4knw1DhPdhQ9Uz8V32RT94VohrvjiTgtx6TuznUI1jXHB3VTJy41GKMm
bmjhri7UPqpTQlj/SQvi9MxuuVwXRh1uDFGEK6Spcu3UynrGfkwdd8O7rAK/2ETIdt8mL2wZ0UX5
Zltqfri0k/0yn6wfQS10qCqxBIuViHDbQpkB6BDSIWEE0cUw8M/1gpVwx6hzr7d89HnkTKtxbMp1
PZj+0efwmOAgLaJbOHg9XzQWukIj+bQo9ZbAf2i12zwemhk0Uj6mbbCN4UStYUJMF9lZ9pqSejq1
RrqBk2Wr5TaY0mHjqqI7G11oHgRm4S+9QnzsTdcHzcLjln7d4Vhjt9mxLwJzIVUlXhkC41WW9/pL
GlCmxp0JcFxD24fpOpepTbSPEjbboWx8bQOMp76Fv5juHRrCN9Rv1dd07P1Hgm/BxtCVfh9R8crL
eYG2hHXubiwWzudqVO95PY0f+tRy+8fyOoGxGexwO1i9sWLtYC3MWjs6lKJj3cyreMCAV/TALmYs
lg6EW8Y62hY4c9LdSfjQOhxEqAVWKWKDJZorLP90V0Rc0ouhpGRjMdUV1jBQy4rC31LuuzSCsj30
2k1sZuvRz7NL1+Vy1zjtKz0JnwKcQrKEkPsuG/cVcNSbHrTfoWK8+sVwlxsTu+WpxztuKVT13BvX
wEkeTBWWB+Da3kNXSvMJ3Sz/oLdueCaB/Op3ORPwmxuDf5MA5XkXcOVVrbpmiyNDTe6Jo1YeojyZ
AC3WyCGNvZ5jJDeD6XjoNkPrX1SjRveldoPvbTxaPjv/nl8cXUgmlBka/pZBoW9ppSinbRaVxSkG
flW8ltxAOXvNSKIhkBsFfig7+JqsVnOSYcUhTx6NcMwPbRV7r87oqC9YQsPkEuB8PnqRY1QPLQXV
wTadZIrBZKj7CUhG2DjJVz8aau3RgTzgUDHXgfIttFgWRLFja5VrOtxuUaCRuPUzu6WelHeYrnS8
I/R42c+DZvY7l4F0OWZNS41nPmxE6nGcTCMUf/umFSZlc7pWOAsZ8pTRPKpxOIs85lOUriN8gwee
INp9pMXhDb1oxhJI3ch2L1Tnit/mYWrY9kdx/2ZLMR4q4Wpk4jUqEXKaZBBiOW5Zk4k46FjVMWZx
E2zIlI+rjmpxcD7AASWIs23tOjq8K/uaUTCwSpQW7icbbEsbQJquMjM+NHp44xqoE7pnlFQmu3Rn
h5760lou3AvE2W2sungDn0qstVDHnBGnxboPKK1ZFBGEpwYZagmUzt+1WHNIT5jZ1tED/bvdgmha
loAdB9aBBCK/un7u+s81pQFe/dHanpIQ9hUqa7MkbhezDflniPtfiqdY5s8j9r+f4mYTQMFl8eMU
99sP/TnGEdshd8VdErHjzxnO+QWg7ByS8vg/f5vebJ3BzjBQJTwspzregD/9AO7sl8OLzR8gmE2p
6d9xxaGY/nV6w1yHCIga8WnAw6r5k0WzMoDIY5iJDpOjc4/F9jt75bFomSP+Jbt71cPMO2uOU9zF
5Tg39nKpKD/TjSUI+GRN845+nzRy4uZnDvI2QqmWEADyhK1KtR1EbB0aQIaLrOMutHL8gVs7iBfy
pIHsPXCETnTsyNZRpwy1Z1EA4ARJKS/kw/xtpotoG3iBt7Ul64AlkKdgVaMJfUZg95I1/akF3b2a
ppp+G2xaTbXIet88ekPRf5E4dREfuYkBoWjpqtHMhoGkCO4KZdukXbV+2Lf6u5RT8ebJ1D9N0gpm
BIXfoKP24brv3AEb1uDe9tBgwjXjeKrDRCr0vcFtYCcrU/voUUi/kwAQgNZzf18EWYWTnJY8HHCl
cSHi2G4pzqvu7NruD4n0dBJiyGvZ0uJUkeiccBKHuu4SiptCPg/hqEArOdblpH2wqpwDIWVhnrVJ
5fsxVi8dG+y7hOf4VpLZeoRB2dzjxuNYlWpT9Q4aL3ypACCxg3Uw27IYTlqaVASN4H7O8Ux6mJ70
mJWLI6S3NE0oOgpzecv2uH9GLjP5kPP0PQX2shMT9GmDVdbHpLeYnUmTa1PoHGTVlAeeadOxDNIO
c6NXb7wBkMWKrgyGVn1szYrfZyhfGHV5kvIptfxtmVbjR7DS42h4wbICu8QbHXBo1UbQYs50tF3i
6NF2UEH6gJEqepZNjMiJvYJ+hnGAHp+xpTNWWuBw4IlMS1Kewndvr/AIn1pbTHQsFDzNiOF1wSaa
8GkANeNE3dO/gwJsoYo7Yui/x4nZotsO1HViQqvpXE+i/BK75CtsNXo3YVVMK2Ap1OdUfnYqGy25
MTXLYBkHU05DnR29kQbtMnyiBsGkAJKF47vCpV+yPnfcrZdSFV1g8N9N5RR6qw6yPyVsOSCQzBFX
DuJ0bvjauoyobI1GaoQq58yxuvvIYd7v9Yrywz4hEUpUsh23dh4Nx4mTbr1JoEs+iiIJXrTMDbVD
oEAcrEXuGV9Vr9ftItL79q6DGxasu1Earw2SRs5TUbVXo83Vl4rKm6Uoe+NN0iffsWxqxruazll/
Z1uyR1TwkfVjc8SVmlksdIOGgP+iDQzryQIMc1R6ZL+3nP6hHdl8aZdgu9JdGeb+lwSfPloOMCzs
EVI8gOCH0DMmXpAtbJScdMVOrtj4UZ69EekRj7h33jW9L1duWVkno3XHb07JIZHvhFHkINeC/IV6
1NpY4rzFcIlqU702nk2SdvSSck+JXrPKtI6lRYMJ6SYyB4CMTXXFRCLYRcdcz5VOYcuIFLr203LC
ho6ZZeraejXQd7KyI0FZTt+oAy1j3sHRaxrLrSjx+RzYgDMncUcD9OctNVHq2y614zvqyhzKCnQ5
rDTRBPba9ir91ZSRWE82N9PO1EtanfIsTlgSlinDtKXO0qbujfWj1dxVmPzmvrkseaYbVo0LZTRW
z80saPdBOOT+PK+VX3DalNXO1lhzKV2EuCD1sb6160r7KBwvQ98yko4l4qhxc5kiwdErEdVCkE7e
aH6kvrj92H9TwDheRzs3ThZbsIxwY+3T0eOAsaMV1lIsJUQgV75Z4u2Melr6TK03lwTR7kNZlyv0
8P5YgVlfZqlUKxodDjaGX5SfHNsOAU72C3GwTyS3zcKw1XbQswc2nu2Wg3dAvZGNQFJXcUVjnRzz
Je5hd630YfoKfXTI1p3hqlVhtfhliqgzFymttNAPjbRrjzb1JfRv2VVfxs8TBYb5jgauXOov/ihZ
dy6iCntX89K21JrcwnWmAEsk7q2R9MEG3l9152apfkf/d3jhtjiwU5HTnn3Ik2Pn+Z1CJr1rDSYh
wJBJ8NRXbv6C8AC+PcfYgqgUyifOWtTK1j2XlR+X+QVGZXYRns6GO8wgTsfSPoswo4emm+jEdaqQ
2zZPO6SakSI6U7Qb5XuKhSIVFOdE6PxzXaltcP5GfDBEU7nUcQEujKp2b5TBP38aGvPkOHkwLaqp
Ce5tUOV4wmX/ELaarxacs6Nv1qSNt7kWtjhSNVXc4KkIOEGX5T2ASG8f8sY/4CFOINgqZzs0tBIN
gZq+sOEciiXcsWkXAjfbJPZoLgajadcQetq1bBzuR21sTEezmby5sxHfcp9cVNpWC0eZ1m0AFsnm
JiuDu34K9oWbmKdqKMJimU82R3m/LS7h5MXb+fN8AHxn3Aic4DtuFx44o0q7lbLrrLWJwHWlwTL6
iv4W7+JBw85dKXjVfNOb8TBiTLkiO/RbMQqx74y2fqqCgnnNgDnM9eTOR3iImFbpCchYPSVYQKJH
2KpJTvS4tYS69pae4VRL0M58/JZr4Kz6LlGpfduSzD9Nnhj2NQ/GeFGa/TkX/odexOLDqC2zwHbs
KBi1afRF7wO5rwutJCgYaT4rUG41fP0iHtI2Xukl5AFvE3eJvASCI0jpef1KNob7CgLNvzXHnCuP
uF+OHkDceTvBmZyArZlmcZ+P4gWcDC0mXeRH5ZGxsDXglvkwETv2iq8xXcP3IPxrdXGRr+sdAr/S
FhNsKWeZJYbSb0yXEr5tKYxcV4gBlK4tefDzyRfmNN5XKlwNyHAjY7iLXivcucgqn/XJcC6nBB92
BDZVZ7u20aIXp7Sc+I2YTp4vIT0xj1b9VDGcyl9HVcMY2IFui1/HWL6yJkMtmYh5xFVMuxx7h2cp
tfwj6QbzSTSt92DM47FiTlbzwJzNo7On6nLptV22BPF75zJfcwMkURa9Jczd3jyAW0XNCcKex/Ka
+dxD6925np9elJGuezvTbvjlmMQcGOxz2ajv1uR0M8pXMfn3yvJntSZOd+Cnmyu4Tzku29aOEFcq
EYYPvttW62wyp2uEE4GZ9Fep4Z/p6X+ZnuY+3f80PC2LtKjevhY/Dk+//swfySKTZBEyLsO3a1iA
ef4Yn2Ah/AKAwaZQAk40Cgjzy+9DlMGeC781IUmi3Prn0PX7Csz9BSOyKXz81IxE/CV/Z4j6DCD+
sNbFouv7nhDCA8LDgurnZKCOxgKTfNKOhAQUZHzM3P7YvlSdsPPqkOj0gSjquHxAAltEZVqhbiyR
Zv06pNTD8RpOkKNdhgcq/3xpnXLNBIc0LrSGJEeCkYBm0HrbyqQZgq2Esx7HNwDyOy6Iif8XjgG3
c16LmDGLjYnsTJu1Q3RjdJkzTnz9fU+D3K8hRnYoBtmBNC52Z2n1MyCaru2OQ0teAekpXEoJxvtE
EbLAR2STPL0i7LSRuI3jZt1jWCICm/mQYZZOm5M65VnA42eB8Tqg25c+Glwf/1w1/8tVQ9B0Ztj8
e83heaQiNw9/vGp++5k/Lhuba8PiHMuXXzewj/x52RhcHETj8aCgIFg/Sg8OVw0rY2JKmKOo3+GC
+u2qQZWYv+SUMaCrEpdGlfgb5dc/eSHm5CppfotVt2nTCGOhfvwYOQ/anlEvUP25zb6GHB6j9P2H
T+P/Y7b4Wdn4+QV+8nVUA31J5cAL+ASkIj9btOIt7s6xYCr/+p9f6jO58Jc7gOFjHuFuQ/iRHfjP
ZJbRqI3UgQ1/Spx0nK/Z7LdrGJqBVM4X6OmhDx0IdrQOPhlpe+Ku6IxxfmC1rsLsa6EK3wtvQx5K
aDZbrM76Fk26/RYT5Iizm7aya80+6m45YS4VSVA9YKMH4GlrRfAwkldLzNg51PjEL4kqSDWNbDo4
M8+8SLxIldPg54NhDtS4Qx9fOXTxRPJeCZNO6aVr551H50fhZ4DV3BGsR96ah8oo40eKLtpjGihK
LyEQpv0GKSe1cLSj+66cwZ3OuEOd/gtuPE4GmFNj0lIgpnWPTqdbznrldMQvRtMuMJ/YztcAUwPB
cbf59ZbGkMz97Z+7xv9y10BL5IL99zcN2Of5t48m/mibH28cv/7Yb/cNys/mKC4NLCZJHZ62f943
POsX2HieTr+QT4rox8o0m2c0IEyTG8fvtpIfbxy+cGlacnCJ4GEx/taN4yc2Hi8CBFCYumn7hse1
9jOQxDFHTDGQuXdFHhp0nsRsADjkgqdsXkZXvvuAVXCyTc06bwexlImLMX0Y5YHvaYml23/wO18e
YL/L04Ck1fl2jUnUZYFeWcydGmuihBji2NoE/9iUkuXN9BUHV4sbiSKSIjQsIm4L/E+Y15IH6Irk
LABs25drQ3nDIjR4TeT9bpkAyVnqbMJW1CK9dKlgVRUXC4Wgt0TGene1Ul+lGX9cGmxuCPZW+7Kr
XgwmANyxnbVI4Pats8B7AoZ1l1jGe1fx8mBtX9Ii/o7Yb+Hx9DC7uubViEgRmznvxy2HZq1X6sWl
rIdqA7yRvcbboxfXZCTN9VWnefuq8vdhDts1qPloOhGswyYDiIV5G+7cgHTIRwkBuF7pir807fgI
bBk+8hb4GHR/n6GMr4KKP9Xhcl0CjWIrHXD7aGE+7xK7KjdFyqrHVRjuO2lfe79t1vNPJnbA+ISG
zKprXvmP/8femS3HbWzb9lfOD8CBRI/7CBSqilUkRZZIitQLgi36NtF//Rmg7G1R9paO77NjRyhs
a5PoEonMteYck1tQ53oXmJ1YrqOKosKcD0EuOWQOM/RoGg2nP+pa0DeckF5bBDQviDWlS3fcXhvZ
Vfk2l00Fb6PVELZS/GWlz/wHRuA5zBXyWlv3Bi5aF+glUdWSSBy+BkRUGAS5rhYlDcOXK28oOGXn
jcu+CEAhrq9FXfaogXVPlxx0NG0E8crN+yBJmhlFhNHITW0zDsSsXxeDg7lAdW9GNDu+lvFHoZrX
Q8JJRWlmnFFaYJUIV3qDIH462Ciosaauo6jj/8v8f5lIgb+zklpgE2wNkcSauE0MLLzjqD9N85Lx
/EZxjT4pRgkvH5MnwsB49gv/hix9osOrlJuxcwh5AsftFwV3SQrkGxoT8oXaSNdvZXv//ryLyEE6
SwPf70aul6gIdwUw8+gbVpm95eQHVURvvOSMataQMLEYnY7NUMEGQ+JM0823ecy/Wk76pAtOhDeP
tm9NwkvP7cJyfTMvPHlyb3m77DE8jNBOLmLEE2RRyXubtDwyY3jCTs9gcngb329GWfNSjGS/48wp
nopq1AJsaM2BvCozMNCE+9iTwsOM7OVUSOTmsCPw+7QzEYcg37fUQLSgzSp1U7Q4BBt14ByiWB4d
qUw7xGDEOjRh4jcdRZvM5qVE1HKejGm5lhQYZSV/OY3oaymMqRuKCOrGGeg50j3NA5wfb2o+JNdD
jA9hfb2IWl32qui1YDKwy/cY1L2qR7cE5EWuVcYMObBaUhzTM0pe62uYQX55f7aAX1audHluDQRk
R4IhUNaN6+sj9+Z9lL97EGGruzsEDlkww7Df4mPPNwRZ1P77AFhHOK/4dWIs5U6fmcbcgffbYF+L
2YBH1/XjGnXCMEIF1wVDKsJHsuKUvRlzqWCcaWj3QtljPWL2MpMnWsw8ApG9odSBHafz9qgEHfqF
3rksL0R4UNu+PKcRNF2ak4lbMn0i3oMNjD2W52FGkjitXOAdi6rsI5P3tMLjfj7bsbu1LQZZWZA/
q0iXoxPqwtxbIJlkchAL0p3J2MERlvR+cVqGYhx8Q+qWb3eqvoExL71Gk+3ZaMEHtMvB2UxJoe7V
ytQDhdxM30ZSHoQjj+49ACHstWscng6k8HLe1R2TCbz4wTexUPvhwCmQzcVbhJFlzz6HP+xc/zY3
aS4C2veXdkisAdWTcsPvjq9MzIqb1jSutTmddwQ3Op6JkojPDtVTQrTqraSz7aO6Vzdr4ed8sozp
srezNzZ/3JqZN+D9XlsuSvms4Ff2gudqlPAGjKnDxsHaEzcMUhAQqeGVhvBgA3sZy1LYvDU2/5nY
YyKmMOpHCfOJgVR9K9r2GfydCYUI13/V2HcFLlpsBPGVMvaX9kqJ00cnOszJhNlWyWVO1C6cgwDa
Z6WCYyTUHUgshUKWilgHWRFYgesIScFpadMnLa2mDRIU1ySUQLsxI6Ti8Evr9GKOZH9IRpVHqKsh
9eowEkYfpCpW97hCgRxHBmxkjzY5okE4+mAk5qxTA2zwraR2HtfCt5pGOdRh/6iQF/yCiejZSDBD
eJE+ZW9OoysLBA+Fvh9kwWncd2Vbbd0iI3fGawFY+XXa8s6nxqCQ8Y7BVBNOeEFqxKIQSQ4d/jLD
AmFj8TeodpEH0in3xDHRhemjIT8PY1eHGd/mwvKxITfJpTlY2hxEWhkqJ7T8KA1t6+a7pdjf7FjW
Xut3u4h1XQN/C/k7HCMLwRnrru+3RLmraIuBRW9vJzN6iSV+SzI+Lnrp3JDARIQXpQPfSH6J+153
Qn85roGmDOGParO3+3hcFzMC6Rx1vxfj+2THO6gn2Us5wtYhvPTt51e5buz+cjTa16iWhQuV5Yej
LWOkYDgre/zQDJB1JeBmSDYjJIKbfzcB/5dNgIP247tnsnnsHn+HHVw+FiCANq/54/jYvn6/A/j2
M3/sACgCUMcCMm/AQ/u2zP8dV2CjVwCkazoAgn8vqv0hOXd/Y+iyOwAwwBbhg2jBIWgZebhqWab2
rmj4JxsAWPQ/DKEVk4yE3VAFGbIo4n8YQlnKmkgsbrOf8avfA40p186hDlxmWpBhTnZbdNu6ma9y
qt6jT3+FFbjt4kJTIasNCa28RV/EfZj0BfzOMrN80HLj69RZyvp1T1Ec0j7Oo+6qhOXvQez5atAO
2uhgRbZlBCNm1tUoaCeXOh03MdmHrMnQQfDBm9BcXuapieDI6Vk3Ut0OjZVg3R4sgXulr/i4K3aO
pztuGw9pWHucyFXyrEJfvS9muhs5Ody+rVWf2Qs9NdL6ulPpRsaBqj/d1Ua5T/KC709TWnSqp3KH
PioK6nWDUjuypnHEJIEf93pwohdTybjIkCsl3Omadz3bum4Wb2ZTV7yU1f+OIKM3Gq8JDk+3I1cH
Nm5g1tAQtAZXaLNwdDpy15Y+qV5idxeErJOkprHIEM5NOPQXgvgoLwZWSP1RnE98BJCSlgOSzXH9
gwTWuTg3nPoeMj8eJ9FNB9ZPX1lgn60KRcxd+nU2Z18bk7WfXVWfp1RZHkgkVjcQF2LclnW/7VUW
deRL+AxBLIJhENpUdrLQWk+BKEuTX+02k76zF1v9pGeKsoVFU32OpJvfVWzm7gSd/t37yr+JQn0L
hxsndQeiNlaLN7nUV6plLIRYKoeO0IjHykDxVtOnhHkZarqv1/QaWAZe5SMZes7ieI7ZNZ9mkk3u
jcy5sWRS7aqpJW5JzqjAwswO6CuJvdtYTgA96TZfaqVB7DzeRkZIwZckaZsliiyuNTfsnxUVgJxv
N6p+3Wm5flkkTSzQa8ZYWSGRL0Eel591RUwB3rE23mAIPcm8AypDg3wD8ZbwFt4cLyVhk4KaQle/
mBp31zY6fZGoFoIFwlyBMzYdr3MGq7rUxNQf4VB3JJ61inlrkwNyNApL/Wpw4Rs5dyz00EkkQHey
qtoKB0gBRolZPY4zNvyzCsUu1Km0m9+U0lyUndNWVfg2u/Z4kWstyMuI1BBWgAnkQT74yHpT8Q00
96+56BfmIvKPmfr+e7XnD8zb/1Rv/0M9sS+eksfvJ/1vP//HpE9ThABV6sErT4mqDx/uPyZ9+zfK
x7RFAad/m/f/02XRHYrCBg0NF2cbM53F4uKPLovzG6QTUgzos8Cd0firf1AvXqtOH9YNbMtNukDC
1KDlQJD5YdKfRZmB3pzUPYGifhG95eBcpxnBgeNsyhHSdaIeJHpKXqR7kTGz6fLbeuJ5+n/RK6bp
HKNd+b19by2l/eUUWJ0Jyk+uobkQ6T4s0CoTBrTjgJKoUM9chsb97NbncsiCsthGmQYSmO76xkUD
Qy84vKjriIaPRsVz1B4MagtLzIZOiS7URfGSytl2WGVrW1w2K9rKMAdkXpiahwjxVP1sIOcijtHr
S/i/2deUWsD6jzOKEVDSt3IhlKmQnlSC2XT3RtWxU48ylAPqUM7eonYslpVW6vpGzeBS6eXd7BDZ
ypjYTwjACx2Fs6Yfo34EYJYu10YH7tvJqck4CqIDlC96p4Msyc7RyV4z8/TBVMLmQepybbkPQlcC
GdmP2AioTqVitZ77Bv3konE9NY6DvkIRMhVYNrPTpECwa8Y2yCRCj67+yvdK3SV5fxVJ+0iJ7GmJ
eh/loN9YY74jHcrxxg5QgV6Wz8VkqLuMBGhwEeNziYIqsiB3lHI0KdbVfm1JDrZsk0z/FBVp5P+7
ivy/rCKFjlL1Z7PLnkVk8kHy+vuP/NF/MqE+qswZ0LR1kwi5P+vISFt/0wxrJWLBZFgXi/+ZUDTt
N1jTYKpwxRvvjsf/TCiCuQYRLfsUHfH0P60jQ876/m0GJI3hd7Xk4v5l5jLeM8i/gx5jFsmXlDTF
z1iW6t6rl0ICwhEsd/0lL9zz2ojaa4rL7TP+AaCKcaacNLeZcfsrEOPzxDH9XE7ULlXyCDaKhZeO
tkZgTkP9IFWV32Mpq7VWGarkKm3ZSuEVM/WzKp6ybQ9uO6ipzaIoBN4eu+W4SQhM2VUs0E5Lqi97
F3eFFwulfy0XdJ1k0Y7GJzg08aepzHHnxLIbH4kSnh8JTZ4T9rncNj+OBgSPLSyALZbK5mDOSv0E
BjB9JBRpvkJ7Rc2c/LuHuV1aFIAw5H2d/e/r0EYCekYOK4h24nUUW9eiUxDEIPPRbnt9Wn5lvX7f
0f65F3x/BJiTbZ6qyk6QnLWPE2pBgEaqhNL6vLS6e2bqvRnU2tQipKwmNp86608mJ61wr0CLaNBQ
NC6ttpyKmgMxvbslBnQMJr86c5d+uFhCM77Eilq9wEVWvpALKk/xSmI2kzS9gMEn8HPEXX6X56Gz
A3ZWb3upV58cp73tEO/szXo8x52g3WixtqM+9ZI2GBy/e0n+7ivysTHJRRvrJhtHjYOS26Cd8fGi
a8dyIjYikL2rInwQ69OPoNfc0yidrhRbbcno1VsgaSNlOySSGt3EbtlKSou0Kyb1qc4Et8E1x+nT
urY6jJVufg5n/qnRNe2VwFRxjHBUfIp7i/ImlqMr0wnviIbQdm6S5HdE2A2+leXqPuHLuYuVVtnh
IbI24NS6YFELxrTeqcNRXfSX0urPx1YT+64PzT0CSjjCRqhvEirQwWRSkFVrN96ayUNeu8TJGdX4
jFaMihVaxueanPEzgnDbfUtt2wtj9mL10G8JfZ9OvJTZJU4OXiaZJRCiXtBopS3M9daSm4zGB76o
qMC160z9JklkA1AhdXfqQiVdgxhAya+cTiTvgSci8Ci9KGK9OScuU/sysyl8dfIGeWQ5oqhjjcqG
cVpsQTCdlHt3qpMjkUTqRciq4gpN7nBhZg0Xp0GJIUs+XtL93FIJ93F4aCcl6aZPshPcUIKKt4SL
0BIw13dTyRZK/qP8YsSYj12o/ecALlx/BTX9IjDnhzmLZheGU3aJZGDprKxg+X0cO/RqwzAabOUU
4/O67lwSPRQEhHeItwlut+lI0Wpn7CBcfh41Z/ElX/XZN8Y5fknrarqsLS08NJ3afLEbA69fnKs7
RBv3k7tWx3uruMXbTPFyaM3cSwf2SznP/rwK4cGoXbQEElsZhedKO01qC5+PII+1U6bMF8ZaP2a6
miGhmFhp6qXKDq1Zd4KWjqIFWJ1weqbTMF1SkF+u34dtnVLgTug4X7QNRWF07uEb4BSEnUohSUMQ
8kuJ7p2GSMIWuUAoHbPRKZOnUs12TdWiRKHTAAZP73trZ6B3sYPMiZ1PjtpUv0rl0tY15p/z1Xr7
KWs4YLfx3GOZsNdX+7tPxthQ/YyWNjxpbU2poBO28Oa2UT6ni8sVIIAjmr2Ryk06J+CuzKl26wvy
YGMYggSnILflHURNnjfhwcmG+jEbrHb2XDAubIxgLj5AuOVigOOLsybple3P556/uwAWdZwWihCd
Vu4P46dcMtmKOLJPucUeHwL8dNnUUbRtrDBHR1wyz6DJYL7QLKYYPIpKQLunxvimmkeQd+Eb7x5d
Dm2uHvXJFvicJ0qhWt2H2yZ3wpvcbgjliMuIFdzPz/39e/zDzUeTAmaAnAJ0sD+e+1igHV6M0TxV
PZpYb5QyfGM0h86ePlZO6F6yXKSThACGBHHXFQ5XoCFuPHPqZDhUBS2I0dXas9wcW3CzjXJDvq67
c0eDPW7b9OWnxZFEEmpc/1igzvQ6Oco3dvc1jwiFugzH/kxdFmfADLZMV70xZuXOpmNLtdlcvEmj
ntP1ffhFi0W6x8buHMg9o2NFRW2bSz3a1nk8PaCGXXbtuBJ1wC0GCxpjx+80bXolxIb5CtQ0W3eA
NCJY9BpLaZURht3uJYGaFIyyuj7LjSF8wCPQnrEmmK7eXz00FdELiLsY4nHGf+zLLDwsU6udaJZB
rC9S+jiu1sQvai2XbUrL+oGRN7zipF5nkPXWINE/9AlsUIM9ClhQQMUnkG/qiuTKblCuIC8zaOXe
o1l/1qsCg18UT2fkg0kfESttESPXzuNplBvTzqdLynR8S34+EFgk/vgaUmJkzQDEwnxfDv6wbGCu
ppmWDQ1kRtEhNFZ5wbz3uTkfp2Y3hw3ZGfjOEw+7YrRlKVY/WqiYUbgyJyG7k2cx2SyUSNL80CS5
HL25UJPMH5Q0gXsUlduuydbXVdjq0zyq+S3Tf/ekjcbw2gMgUjbIHQp7I2OnwmfMcuxiKDszIFcB
YDX0byp5uZ6H+TYXeIU8XC/93omUaQNpxj6bjOJ2Giuhc5Zyzn0FITA1IuVa58Ua8d6o/QuoVKbI
DMNKizZoP4lF7gze2r2dgxv31PW51mPSfQFqvqfEB5Ns0pIlcPX5i6hrykEVTivOJ0YRnfJCUD5k
sKaaNHwYPPYzKsBi05JXf6hEqu4Xl4Brz9KXZrc0hMlfaFNouD7m+PiO70ByBxUN2MFSjzrFqATL
gsSzTEZu1ljRPmbdAtRbZzbwJHm/wB5scVKGcV3goAk/qA5VSkUW1qbFDRJ5+LG6oAOGo3K5GVNe
XklulBxb/jnsel4D7KxL6DuWNIwV21TeRFEnz0LV4KuziFR/ivUwmX2kFnV2VLpuXf6483XUJZUS
LFGjPhU51hy/awo69Mzsqq+UlCcj5L9oyqvMIVqjqo4ExCJtN9n134tqSRzGU79cpyWFBE/Y6XRq
WVvuAX+7iI/lsrxp5G2R27soASWXjDaUFeIoUttlDOgloi+n4Rf7kMdsGtEKozBpWGV6U9RuOnp8
imfWobpJ9CV/oxN+opqaJ+gpjSr0xgw3fD5mxaVtF/GVVtgjuA0StTzpzsv1+4v0b9nsF2UzSjjY
Jn9SN/uSyOeqlEn5fbHs95/6fXPrWOxtWQRQjmId8BHLo/3mAF2i7oVmmYrYuov+vUdikHZA/wPh
En9DYpfOafyhrtR+Y2lms7+1sHfS1/hHxk4O8d1CBSk0pGdTRyJFvJQm3gXY3y9UNKHGWW/G1pFA
WJbeheCTDjN+jysiW/yulebjdzfob3Y1f3dAvK0qyClMpJbgwr4/IFBircY5ZB51OkAbMYxYG9x+
urJyp9lHsxS/Wgn/zQUiUOV+EfgMxOiHaiDmnkWu+KOjDWbkEc2OuNTTVNxIc0i+aQn/a9nvhzrB
ei951OuCDwyTzZbt46W18RhHfSaMI6Y/8zGxU3LewWqQjadF4rJbFvfOzlJx2aK6Of38rn7slb4/
RkaSyWhwVMGMud71D+tNpnVVaY2j1FLjrHRq2kKKWdLbGSLI9j8/2A8JN+9HYwQKZPR0PvgG/HCh
E/v8wp4S4zhWFgeygX8M3piqzE5DZ6eRV+ppHR+Kie6Sz9ZokPeGqHLiDXIgjqpWuuc/P6O/Xr7F
ktuiPkPksW1Aqvpw+Sk4/j6PQuPojATZ+G7RJDsVTvXu//NYFLlR8TKEGTg/DCiCQNU8Bpt21OUI
k9hQ5IvdFdOpT7X64eeXtd7HPxey6322kD5T+KLyxdB6VxN/91STriYkreqNI/atN6kBAujJMvjF
0/y7e8ckhNeAg61F84/3DgmkYdNEMqA6yuqY0tWkumvVii+WjE/Sz69IfNwYfbsklOZCs2j+rp2A
j0ejXSqGhWjTI52irNjoA8cUJJNbXg6p+sGBTPBoWDMvaeJOpznu9DO2svrZL07j48Lw22nQttbw
s1u45H8cMFC02A+w+D1i4NbgNpcCs3roOuc1EFtfbdyiCAgYpsCEGI062PvLa9akpzCDtPufn83f
PQFyZuiOrE8a0ezHe5LluJ/gWfHyIuc6qapK1hGasqOBfiv454eykI6YdGkwyPw4oqaapluLeO6Y
4Gs+uW7EK6vkE1M9y6fqF6mTH6d6pm/DoF5nYx/VONxfhm8dd1XeNDWeY6TuC8Dttn5gwQt5f3Sm
K5oPzA4/v7z3xsqfb8x6SEAIlIkthL30gNYv6vfzYA0EXMO86R7UkO6qATI49yTCoZM1KtMax8hz
1U22ZLGTajcJHd+gmLrqSOJMPW6cxGr2eOfb/fsM0hmEEDAAWC1Tj1IWsUkEy8CfnzItKc7pu3Pm
w48SAn8RObt0zfg0fjzn0plSWjhQS2WuFlt1iZdtlVgK5H2Z9WhNCzJN/TxP2yr0q7SerUDwy67b
llznYE5zzjEsyFChpRt1eGSL7mXCBEltNF54rzRSz+ON2qZU1UyxZvyIyDUem9iZ2NzD9lJTfqxV
rbX8xs9tZKrpZ6OWNg8dUv8j2Fv90KbcwHcWwRWIf0hbdAbdu26JFXSxbtiIvZAmv1racTtuiKK0
CF5sExAJUZ/o1i4vG47hcKff49CahpKnZwzQZT2UEuJSEogM18AQ9cNckay0U8LFtSD06tVRdhG5
PnMryviQEV37kqV582DXpVYfiNucT5SLqYeSuDOw68ii5KuYXR6ZvejWaupzxvCuYYH/UHaZ9UgA
OaPdSDXzccYg+YLSdf1CDwQcFXOmPdekiu0HxHKn1gJlao4E4tgJgi+P+XcwcWOafGHELMSNoje8
pJPjnKMvBSoxGdzRMAnv0Eklu1DX5Qs1UAf6MNA+ZKPcH3cM7ZOU0XKnDaZ8qV2D51RYo4vkoJUv
Gdtojb1VhzFcYqD3QdO7dz0x1xZ6z1k/c0lujbwinaEAdtw3o1dx/r9/5aCYOdtaksPDHjVu0z1l
XBpjoOcY2UZswXcoShyy6NFYmCgwtK6ihu6FmmrTCRCoNQUo2mFlm2VOpxEuDHIKGEOPtpVxN2fS
tjt/qBwc2YMa2haaO+ZLZUC2spMGgcc7bdI4GcKesyJoO76LVhXz/pFPPUeYJh1xGStFzqM0i84B
PeQQMmXPiPhgsoX4xUSpM5aHVHHv6M/ya52Oyu0Eo/+qFmuRputs4lxn/DOUXAjJQrynRwuW3HyJ
fJEU5iOwOvPRiukaUqNq3XxjzqL9DAhI2y8IyuyNFlnG1xJ+042zJPNF3sAYaORUoYVQcuFAdVbb
A6Cd4SyC281vyacJogT8s40qUZDk+bKqX6h1ERxhpvMlrhv1WBhxhZcncylRmhIntwkteAavdpMh
UaLpGNf1IQNMz8rIQmSzqLK87mqJyhZbXvFamW335hhLdWZqNlgjC9OcP09r/lVPqti49plg2qk1
MDG40fW9lWet3Epztp7XSvVGkjlxXkm1pYixxi4CmIBVINKq3A1VX1266Zr7BMot/hrpCrjoqgPV
ZsXWrinn8Agx3W52jhythzpBEoXUdPlqsek96FR2Zm8ajeVrmTdZYJoatWIgZu3GCU3qW9lYfiWZ
0+425QDpKFNbmxYBEA3PniCGI70tlKBhDUi0rVZs0cqC0Y+X0CsrNTz1mVwDDpr6LG1juZ3Nfn4N
o2oM4DMp17NbFfdJNhg+4tfOq8sEnF5DSq6dtY92Z/B+JIuyCWE7+v3Qim0BVj5tHeXSmGKV6V8P
SRsDW4E4xkKfW3XU42D4m16LSjXCxiSntZEjAMpTDJ3NTZkMI02LkAORdBNujD6Kz5wK0FLeyXhF
LSsBAL/+ts6sBh9EKbe9iUe4jNXn3JbVvZsnGmYFMW0JWdI3mI1V+Mtdcc1XCYsl/oD43DIaAMqR
yhOFqJueE/IJJaDr0QvJjkGtYLnrHuewE5eKlvJKUMAk76GqOy09WlPIAluDQNr4zLbdS9SqTEjV
4oqbWV3lYGo3uHeU+KcocPrJVIMsQXGFVZmGv1fYYb74mgnmKxTU/gi4U/z3tksnXb7HTm+GUFA0
ozpWiFr5bWKq5S5LOqYgZmMWZnQHrpSJfZSUKUs4a1gEBDODV7+PzWZvTPAC9iYOmoe6Ztj6FbYC
TCt5mWNtb0g2Hcib84ReAT5HaSbr4quZxk79NteDQTKo3YWogDoZlKkxvhbO2EQ+xRDzCyow96yN
XbnPQeYhVZsiqOK5SOMnYmseU1qmgWkkUeSHVPbkfb4ovfI5WepK32ONdy6HNsUPkydZEI8jcHnF
As1J1fp2gcdgwyEyxtsBmfaJgJQ3LV/uJ6Spn7IOGBDzKoGvmtv2gdHX2kuE5/ZlSZLxc9TbPDne
+DRoKFi5nhHZI3lvMZpcr8mlfbDMRFabaczrwpcW87if9TJCiuxO6tGg+3BBN0k/WcuUICEssp4k
IJ5C6rPYce+UcpjKAN5CToOgNT5Rvc4/NeikT0XiNHBxhHxGvJwHFRDCp8q1hmNn1YvmmaGWWJ50
9MTP4A54Yw+TySsa5NsSJPgmLRzjMI/DU1gr4+exizKAL7160SaR+TUbrSzy2zymUZSSfuM1sx5d
ukSFQG4w9YNCzBBuySGSj1oy1sfC1t0A/np/pKWvIFLpKFDvBFPeVmExO2wmqvXAPUAOTds4LwH3
Up6GsaQvn+skDs+hANGnitXKc8FtPJCo3PSBKqWRHKZkmkwfvqNCCS0caQVakzrWyP17uWeXq5yn
9lLdwinSXF/JekCeGmXGbN8zeC5HvvBvYmjkRV/Xww5R/XwsU1nAlnHjkMRawfYiZnLbAYgQiV+z
slB8emfDNeF7WCDKd8G8ZMp7yCY8VCDlzfMp0ZhGdRU9tN/UAz15rWj7kLTpSrvo7HkxvdlthAND
xjaYEMX4WmkWzQ9yH/DN1JFxZhhU/PW1Uit7OznJQjS3vZjlHYkRRjDQRfeXFIIbeDmUPChlBKrV
1MbPNGKgIh2K+nzR8R3qVr1jqGC23BjcqqthYZ9S5gvtBrMKk09AwqZbtR1R6yQdah6YpfrWUXQA
K2VdmttG2uboV1qCXLVn7L6FNB++1I7ePY9maL+MFnryrVojpiGkQQDBT6vcbr3Q0au3pVuaZNPG
wI/2sGvezHiKrmRaoOdbEtkdqPTGlVdVZbOJJzxQnmG3RHHxdf6k5GMaaOS7dBsUDO4BtOg0IQmq
yACkytk5xwwpp6cY9nAfW3PVo4Bc0k+wBoGnhnWZfyrdnKCKUpuU65hgaJ9vthRkZdRjPvV3ROZR
mv62g/23FvqLWqigoUYT8L9rCM9eHuMPaIbff+IPkc/qJDd0/ifYeFtIev6jGqSagpQHwR5SuY94
O5gN6D1wblp0cAwqTX9WQQVyQpANSHzW3g5bvn+iGWSb+HEThscd/zSnteIQDYquP2zCMoFtmZxK
69Ikg+2MiJWpOcIdmbVAcVgY2MRj0NjSy8OENDL/TFXPdJ8oD73GeJQ+G3YG0UVUzGqWgGRiK8kR
ngTAlxwYbcjKxcJXDm/MrcgIXebupORahJw44jt0S2oBHKLym1k6c/E4DwOw0kub/KMGKEnubBMZ
l2ekJNMIAl3qF6S3bcoiNzao381tnDC5BqnbX2eokFsvBT5znus1msNe63azNTQHPl3jC4SjrwaL
7xfDleoDMD0bk3lSf+Wjo/qGWVhnli4fdfaKXK8Tz2isNfJDlzme9mpdGVselHJZIsWZwPEO25iC
HFSo9ps3nCwQUQxbE6UxrWuscZ+UONa+DOSlGr1eb0QyYaVMYvU0y7I6dX1DnG2nfsnNxL2dzGlG
roQqu9bcL9PkWMGgkmulD8U12h/WFX2rXbZFgeqFdZ2vptAtiqEaz0wrTi5cJX90u8ZETVCirMLy
eWxYj+/yShmewPWEZ3No6lsKPfkrIF6aqakjXtcmfkMbpq32rpa89oDoAndMpntTODBgo4SlVlM7
kd8UufNV03oWwHYac2+qL0VSfGkUDk2y78KsNQ4PRA2ZAaKDKjCyxPbNemVK420bMMQWgylwy7iw
qJfJWJNY4/psHZG3zSCtrSNC0L9UMbO9rfUNDUnbhvSKyxcoKuyjnYrsZt7UOfA9zyKe6mRkIrua
Z7l8CscY1OBiNOexDo7Zw19nchS9CoA6Gjvi3ZEOkIGafMb9lp+bRT2fx7OlXxAXnm4JIR+vxrZp
t6WU03MHLxtQm6qTUpwp9ZvLKg8z1WiIXQFv+LxdwmQ/maU871C206yyxuglJlPcz+va3MeiQ/s5
97V9FHxfKy/pbPVyLGdy5FsXOHNbamqJenNwvciR/R0KcVaDjT5r20zPmtmfsAezTYuH7RBrpp8p
hYK9tNDc41BApQfVY7A5GpB0bN1xOk8aTgpue30AEyxvI/zLhTdkWvxW9UsVkA3mYpNC7tqayou1
mCodxTjFxwbg39NbyGV8VZEO6bVeb+1Udb8kYPC8obXBFZbJVQGNZZtHpvo0YEPbaomwnjOYRTTM
C9J3rIE91CqI91rRjfduZehXShbaIPMBG/f4+yK/zMb5WI0KXEoHAN2B3CUIdgUN+AD04XJlm/jt
lsYtfcuayk036dqZpBJzyilf7px87O/M2KyusTTEMxtGGoO2GyVHpdaBCpLwUkCq4pKsynBUNCMu
2en22HhLO8wBXvEUmBck74SYxtthanD8ok/ZxrRnNjHWaa/tjPAidsr2yoKsRtZWe4Mqzjq5er9v
WaB9GnuV9cEE7Y6UndFLc42ItLAY985oVVdpoSmBGIXEA18782cQ8vUFwdWI40ANfk1U0aB5zEKv
H9vxzJlZ7Z2VeJfxbjQYMSpJ5aRWLwpbCdSyGq8jo2nPZ/aUPpOneikh6vmVSUYjfDySeSnObiJ9
VM+WRryI0bQuawPcJWBt7ayQveUlQhb+VNYaKsow2rUaucphUt/Al5hJ89T07vPixvNrodYY5xV7
3s9pYVwDRy+QQ8IkRjcESAvqSLZjF1VvkpCJXNWW7khS9nRb5qqxbeoyoj0+WBfqRC5ZVTERuVE8
bkL4PQ96pcb7mVWIr0y5G7QGXPFNKk3rgY/gskcmr7yKFCLXRAqRP1tG/5aGSnVpYJc/SZDwPvmP
7zu2x2gpogB4VY6JYxh2ziAVVCQIFx6QWHTnbZGfJOEYRDGDL9fblsSE1Y60lGa1HSdnuVIFvFEJ
KXWVnIRLYERWS2BBlfhsIp0NacbQ2+zYeIXoPLAj/V/2zqS7ceSMsv+l1406mIdFb0hwFClK1JAp
bXCUykrMYwABIH59X8hlu0plp117LywvbCUpEgh8w3v3Te80rUtjT6e4oFdJmHId7ZRodguh0hm/
wODEXWg06ur6YxD2Vu2+DH7CvWG5TagcvzigqpzOVTJoHFgwnEcntV/zQmIH93BIGlFVQf6vjbex
JHcPG9RTNHCkm+Ns7rFPNiUm3sghU9GYQnD1wAOC4qp040D1gEaiswx3wzSFL7gynSD0Unk/Mvj7
gieKZPYBsfvsVsldRqBYtdJa6H167LbHwGq9YwwuwecEjYgeG0HBil4/CU+zrkoNd0Oc9vRsenEz
8IGtHa49FFpmeYwIVuWWoKwGmHZyicA5BL52zeeAS23sajTwFvBYu4p9sHTusI39vtgIIIVr3Y9O
Wd7ku9oV0Bp19PKV0tNwbEqiUNDbbocSbUjcAzgwp6LdTFDs0R50HN9jNL4lqd7sNKm7N0oK790g
SeIbqxLt1hHdvbBK50H59pM+2zhVmcSeSPYA19BraufTmW5ax5NPokyGo+OWb5nK+kOSeQi5cjxI
kty+/aAKz11NWiyOqQnQjw7avoqY+DjVYjT2eXLJVZbdG3FjvtDMjScokIjWLCOSX4w01faFks6p
bFISEVNnW1vZMpLUL7lrP4Pos1e6X5IMVVkkrOGZfQz8uNkNvd9eGr8nvFQ01lZvo1994jPXbpwk
TKJw546gIveiLtQpAbF70zBfBmi7TH+ErEMy4toQ3Jf64bTFY1JCnjPzzHsgCt3Z9kber3l/IG0z
6yw5VSGnGq8RJO8V7ubkgsTxVIxoEYmgPM1MQp4YblXHNoOPj4FP7lLmDNt0yqPXbpinnT2l3euk
4aKLgyHY1NKUB2/Mhm3hitcRwu8q0EtjG+NiyxGiovdI3rTBmcMO/9+KIFt1DALwV3lc3Ew9u2i2
8QQ3lvLWLup4nfh6vUaUXTwxk6geKKrym6r1edQ7BuKQdMxBXNZ1b+zIJW5ui9jelq7V7HyklefR
squwYgCxSzKbBUJixicPVcqmM7NhH0dZSpzAmLl3rdNMh8QujO3kD4xhs8xZj/b4SoOcMaVBgbkb
R0Nd6C8zss4641irrto6/ji9DX7ks0ppSZiNcuFCVyexpyIGuLWJyFPTewWX4dWlEdUpc9/KmOEZ
b+RHOZTtNiuroGYeqnWHWeg+BMIcg7/qsFOCIi8J5iQB5tywtSDOAPP4KEEOoRCL4Tx2ZmhXauSR
5kJOdAKdYXWeXah7132qE1ZiMsTRo4Yn6BgZx2UBQBI61WbCqnwfWZr+A1mGs+phhKyGnvgM4GXw
mVOEQ5Qe3UYU+T3ZmgAyhD5PNwTe6uu2MrMDnOnhdYl82KNwijZeNTCKQ6GAVlXQCceJJsJ2LAaw
sXSkX9tEX2Adg+esUqXfew0PpNU4x9mtMfbGO9kCBXZLfC7AQ4q1Be5gG1WqqIwHf4qGLAoj6Sf1
O05TSb9fVkVQPnpTkuf2MSLkPb/pJ0C7j+Ms+dRqdjwaPLWgolJeZZ1rKBr7wvDgK4+ZEzpBmnvh
nMRVqPVR1pMnMU+/Ni6CK+KjscMEwiEMz6pftRjy6WzK5sDQjAgkQ/oTo24/PQ7Sb89tw/+7Fm79
YnHnWfncbXlF7cyouw2HeDZ3qUfE7CpupgpNoW6c63TyD+ybFXcwkpZbb3AfFRSQVds57nebdVW0
IoanuYmcYNw4Kuiu3cKzyFyMr1rZlPc6+cqhazHjw8w4Dnu76HH5IIALqfrMsLYpYcxRLPq7NN+7
XWFvvMIxb/RKYHzVGVSmDumyPlOM0CGeFXWbxuvpeVM/Tam0v8BMgXsi0oahnzA0YocIwV7rfHJX
RGtYBop+fmH0cYnJ+0awVQTTwzQGcSgzyLXrHkDFeW5ic531QG06iyHqSuCEHgAYNCiKeQqDuZna
4ZAJhIQr0QDTm8ose4z9on/pKT3pmUgfYUUQP5SOEltAQ+0Z6222wza1YKeZad9qkRwhY1cTQs2h
0Q8klrQPUVTqfYjhKyM9JHAOCHWrax/D8Y1bo30GMIpDoPHbr1UNbRqh4ckGdQLntIKqgfgGB0sV
wMMepH4DBbV5kCQykCvMQMU7gwO076ukffNUV+A5UxNzVuLA2Q+POo/9VMXg0PUici95MRdfMr3J
nnzguTv06OAj5sEwd7RC/VPeDeN3yaZ/3Zg2iHJinEPeUbXNuoybEK0zrFq3d2YArh21zhIPFkaJ
M35TVH1U/BrIDlCw810Lgxc/HJP1axcHVGL4jGEmZ6BThK+RQ+Sp4DDmdnpIlMpODkEih9KCjVMw
k2UL4XIx6dq3wq/VE0CJiPByg/3Jypo5NHSm94TRYCXiyh91Jm6eumgzOO+CSLxdb8riWi11kqW4
rpAVw+pt9fgYmTmjQipfNOngr5kRGuuMtqym/1wKWcPpTo5FcZ1WurOcYPEmmNuRyZZIs7L9Wvdg
bS6E5QoLsgcr+3MLkkknbQmpKIN0V6ACYCSivmtzpY93xgfINKmx+lVSm7/01dRMj2rUMp6vWk/D
29+xC0TKvRkGz/RIeLW6abzhI+l88t5jrINrSxg1GUb/t7SlSOxem25VPO0izWvZa5XT8+/GP/9C
6fV5Gc/iCyE8cXNwADBusZP+42K7gW+eEVE73oJscCBfs+w1TMk3siR3+WEUv5qltZPZIsBwtprd
bZ3E2PgehsgB/0ANlktqu0BlIVyN/6DV+qPmgtZmeW9o2w2kYSTmfVa9lAyEKz0C4Ns03a3XUCtG
e6B/P/8E/tWLGEALET8gQ/Y+fwB4nSeaXjnepiZ+eP7jEsJbefX242X+N5L8jyPJwGeO95ORZD2i
Tvz1w8R4+P7//o+Bp4pf+G0iGei/GMhtFoEV8ot/TCMDlxxFRCJEwaCkM/+gyrSWsETDB3sKwYrf
Qyv1d1Wm/ouFjmMRAH64m/mu/4KHGfHPp3lkYEGIRQ2y6NdNz7IYvf5eyEK6TS8rL/WPeltON1om
GghlZn6dLCf/XlYSSjcMbJgAhRPHK8Kd8lvLKruXLHNx50ae0O6M2NPjVdLM8s62+ug5VyYKuZYN
wXvSM9kiqA2i1TqqBibnLUOQLTnbZJMTYPc8O/14P3SNxRkMPCo6Argvvks5OyfZDv5zMtXYr1RB
2gF8AMOcOdspbTBykc7NSUzLUGwyPFYMq6rAYe9dWu53JIzFr5UOa5w1OmTzSX7p09a+gnUZiJqW
TfSjt1R5iTV5zimhgfbj1QLybLVvYBDklyluyzVJA8kPzSJRbhXETtuuusm7axgoleE0W+IOq+aE
JqAz2ILjkvnhlZp2X1cZtbkny/hWaiY0Cbuh6YmFz2oLf5F9wveYZ0wVlRHQlVO+K9zZ+8KNxMZB
fvcCry2e1pZf+jvWJRbbwpI58GwkyWVwhoPDlj3ep2MR72IV+ITp2nKn11NDPm9Zug9lQlTdTlVJ
4RGzlpjAvohTVKuEiSSjXLsOvs+GznwU35zHNG+B2bsBKbpmlLfHIcrhNgnDVSuzrklQa6fgZtHH
r5AgLCL/oPFv7ZkMq20kveEqvXIR0yb1Ptd08S3RIr9fB+T81Gtbuc1DS575Ec2WxtaH3Un9sUbR
lo0KURu02P6yZ0k/Vi4x/ePXYtnDuB8rGSLLeYix7mFVEy1bG4b9LHBiiO8g+Njq0PZ3a5KHWPUw
D6BHG5cFEKam/kimHWshd9kQ+ayKxMfSSP9YIGnLLmkEDWUDm1LFyKZQ9e9VZ7kAxmg9yI2fsgM2
s3aDgyqziDN0iZhnc3/njp0M62WRFXzstLJlvWXUAZXblBrjRZFhnz23Ouks8l5pPgHuTMXwAew8
Q6bXEb7YHePF2Si+8+1i3YD016V8ttgzqPFPGJnmOr3VXa+MbmPB+Kk0asoFu5cUiSO2odkwn2Kf
14hEG2aFerAFy/ex4qG4xggoq31UGSRuEfjCNjFz4SeSQzWjL9uKksRCDRvnGkvlGo/tuPIqo1uh
Faw3Qmdj3PZGtM0SlskaOs1Niolt1cVWSXK7cWP2ARW3Th7OVNtXnkJ7wgCdk2rsCHdCBylLr+a9
O7V87kuoJKNRmxScyu+4Au2q1UnsQfoTCjGALekiet5M9Ud2meUmzWbvYE3BeBosxbyCefqOAftA
2HSpWoRc7XCkwyyvEBdsAGy16+zIlme3EYh7lXBj5nX2Q/nWE87kFfru/DvqQzvMXDfBGJKJR20w
i1ucON5aVEAJ0skxHoDvcWr59D+rQNgQAtxsIuea2iEbY38tTSowOeR3NL3PqKeKday4sQmw32d9
fHWZ+2xKfCprmLbVOkt1JFuTIKukUy6jmtxdPu16fESKhyhOzsHBq221MQuX2ZqZmVe3Ab/H8QQ0
z+6cA7PZcuOygYKzZ4vhTA6OvmmnjKkBdfsXq7Dtr14J3zbJCaSemiQ5ekPvPeI1Hm6a0S0mDinB
meIRU0Tx5kQaWXYTaqEkj9VFz7l7gTdnd0pyNua0D/sas/N+0ILsNBpaMG1iQT5fZCq4BxVBlyPG
yjWNT3tbkm2787qSPWlnvmFTn1cMsCSpDaWiU277DVNYnUKXD+V+LEgajBRQG0YsBZ+2aWXcqL4W
kKeZzjxEfEuCH0+nfiK3SKtOqZOISwap7bvUsfcReUdKXG/qG93HNYRqeADJ5pdf29r375I+xj4a
8/V/zdhImc7AgCqfqoshhzSci1h/ZNtQ/BCz3b94Rmw/eOCI7qFGxpuZinpbMNY/S9XD+9RtAVOJ
HPuN45sFh26SDg+pbTE5T4T1ZgkuactqR5Lu2ursG40gxNcxLgIJ4hpdzMBdNc4PsVEu+ArNSG97
GfQnUmDliUzgaK8nTraWmcjpJX2OzCK+IAXM9ilOMKb3g+evcul7a2JY4tDKejR5hNqoo140ybbM
s5KCroieEuYSCVZTR7zOKXLmlWIHfzJlLvaCUCdSM43pW9kP7PGtRj1a0jKZ3GZszgsCk+IVyrkn
hpPmiai88UQCj6SFd/WM661Nro47GA/4eM2tQvUZziPozLVLUsOXpm3EnaVcVKyiXvB4y2nPE316
S4hIfbQSe8FqsojcMAukrzVttc64Ko+ozO77j+STmBlq33/VWzcgFGV2oTbqX+ePvBTm/F36xXbM
CCh0X7sDT6J8iVhRH2kr1RK8MhgsCqA9ksbSLMEs/hLREi1hLd1HbkvCFlhCxSPOJU7mYTeS8DJO
OO6IJIk3XKTRga+yCIclEsZawmEcUmKGWGvCdgmO+V99/F+BOTBfsGX/9/XxzZ8Txf/2K3+vkO1f
sJRwVOkAMOwAj8A/qmRD/8A4o84AA0SPs5hs/+5dYnf+W1VsLfkJ7IAXEodLdcfS/y9UxfRmf6qK
oYai8MbqYpHS/Vkq3Ua9X2Tx5N6UZuMba9P1jDF0jZGbYz0IrYHQ5eEFZKGYk/8a3dbVzCO4c7DG
BKHquSofCmRwWnkUwqU/3mjYXm2ySyOu6PVgocnlrixUc5snyBG8bdnJ0h5ve33R0LE78qgO4Ksz
Qdz2AhjzSdqteM/JRCGQhpQyA+HRGrGtty1Y8sxbQY5KswSqaL7CUag+clZadgiErizbV7UzSfHR
T9UEF36dIeBkt9ctiS1F6w/tHZv2nDCWKHgRxJGxiuGha3CTyay5cSF7RZuaLBgNc1fNS8yu2kwf
aTGkyZAcYy0hMtYSJ5MDgHtpPSJmtCVshiEYTxyn97b1MDPv+kilyT4SauqPtJp+Ca7JVVkcMrZB
r64g1sb8SLgxlrCbOvDfi2kRv6KoY9tazgd+RGc5uNaF3Al9v+QDbPolRGf6yNMBJd/eDx8pO/pH
4M5H9g5FeFCCvSWSp/hI5xkNgnrw8Zd3wxLeg+2T5O5uHndqifYJhDmjPMtaPJ8EuWmriAN7jzk3
/c714NxnOZvyjaxN7cJCwN9NjosZeokTolmqHpMlYkgtYUM8Yr21ZLZFPYwB5Gw70vyifaQUuS2B
RbUdL3gmyuXS87yDXMKNCmZVMkwHAKWGCeMI+zTzXZQQWwsM357UdHBT6A7VqzaXzdZHJr9jqKUO
NvbUd32JWEqYtD+Q3h7dDksAU/2RxWQvsUzToFxpMJiXdo9rdPX3/+5z+ojkrDnL3A586kdCSEuG
x5IX0iAirI4lKdFFHaKabIkUMTvtylCMaR0zf/zKaoN729Df/3ei/ncnKhv0n56oDBuG93z+w9SB
SQG/9NuZ6iNc8gKgacFi+DT/OXfwg18chhEcsx4BMfhFOfx+O1Gt4BcDbRSBGouzBU8m5/A/T1iG
GsESj2GjrFx+6y+dsH88YMHyg/M3fYfxA/gQ0/wkg7JgRHe+gjgoDSqeNaIt7340YsU1Dv4xben3
pP4tW+Iwm5at3Cqr/eAqa9nvO6+UO4sR9E5nMaP/7Rn+b72VjvlpIsJb449bBnfmAoTVP1u2JsTu
Tm6SC+5JFg4XyJT6xVcuZz2HpJOvjKF+SEkMszdpFxEWbAVAlCR7Ixqm6LtfVca9AGfYdptm9krv
C4TF+HZO2pG4OG7MlzJJepeUaNmoLcW45oeFA6bjUjLZFxqrxl7z92MeqdDW86pPQqMYbRL9asRf
3ROZjPEeFhEwnnXgFO3Vj0Qxh1RiVgmVrQqOfjcYG5hN2WaCvM3pnqAlDkbfulOGOxDR2BS4wFsI
ypzgRYxaImu/leAGrkB0avYJIPKzdZrUtOI++wtjKyMzKY7s34ucILEZ0302WIzvQcxTZo1bonqe
pyjWdl2qumMbZ8ZuGCzxnupJdwlKZwrdTJDkXB8bdtOPHqnhzJmneeeJoWcRlsjjpIFFTj3FiVtg
pb1tbWs+VXGy1UBQ0cMMRn3V7OBFtzKA78ic65DI5+Qr7rrGW+mDM561uNbuyR8KJiAGs9iMqZxO
sace9CEuLt08kLutgopNzOga8dbPNZv9NkvBoEmIY0AXqHgy66l71f28uQJltdZl5Jd3jlQeQgWr
M/IzbY2wnrIYmfME8+iiVLuh0TW3bVCM6OJ1+J1AMQ6T2zg7Zt3VtvF6skKNzh3WghHGAtcw9pMV
NRvWCdrKUjqbeDRvB+YQ45owMveeT729QbzTbTOAWccY9A5p6a5/TAy9iMOo0ouvQGzEY+3R+Laj
4SFfGjTGLSJVtxYy1ZMlde977CXu1o76dgNCB8mJKft1MctuY6Z1jzIskfZWtQAqVmQ4J285lz0g
lW5aY39h6Mapf9U9pspMteWNM4phU9hpsLNbaPPs/VE/jwhlVIWmPOnLDh4qavC4SxMu6Q4DwHak
RZnXqrXdrw7/yCJS4VnqE2zJSs54M+MsYUc7z7+a4E/PbZnYoT9N3d5ubDlC38vcF57EQMEiLzEO
pnSzLqxHi4xS1Xvg0nkCm2xeHCH8ldmWHhELAQ6slQ52ISTkIVYrV0TaozMJ3VtBIe8PwdQZN0Hj
1A7wQL04SBZQYlUaRXKK6ZFvpgStl2UjYFnbcpmFSVRZs+kAhfcj+52U1ZG1XzF27ESa6hQU7CdZ
X7X5GUJhBBklQF/ip8vdRTKHvYqpN+SOnttCWNMH471X6amz8/LaPeR99xQko/rmSTXBhBf2IXAh
8zMQY8bYGAh1OAnHF5kwrFs1vou4rYxVZYR52pGly1N5nFmadt5rFXnBEDpth3CtZmctb62ysQ9A
OsZ6hXLLY/ct+6Q8La43cxXMUh7q2K2dkEaVWWfG6OviMPLrVjKNzYso7PHe7SToeWaJkpK0EsUF
Ohare5PYMGaZstboy41Ghg0zj1uX4+CmTNieEclalM8UQu01Hay+3kyFaZ2h+LQnre2JMPCsVr+k
flY/Em+gFaExpHao1/zvLtcoegJjTo5SOUgOzCS5S80xf2pKeBvQbclRn4cyRHlN147hIlg5Is/f
sRYSkpLaKTJ1hnPunUjnQvu62LbG9dS2wdW0Rj/deDpKIJbIndttbb0Mfu2U1R7n0hhfEOwUa0lC
79XoJWCuGo2R5mqsO7FV7XUzkzrbw8S+SQKZbb1Rdg+OVatsFRluco/h2fxSyzK9evNUGnvRifiO
lU3TrAiyzbF0QFZ5rSHDkDhLAouz67BUbiJ3yN+SFgU/CoxJnntUMCy5kZsB1rT8vGDk3icw9not
Dx0peDlUV/IH53twDbRk3LYeyhBXC3iJONDVyeZs3mazlR263Jw27ei0G86G6ZB5efRV4hDgBxcd
5zw3eW4tqcR6zRRswGS5Rl1iMs5yWu9kxA58EW82k3ylCwNZ0zTST0vmHjc9HvmPrw2mUHJT0k0w
9rP4I6XhbUTivmNeH8PRt4kZaCfrOTV6nFc0C3cBHiletXw3W3AJMONgZE5acyIbiiPHKU7x7Efv
kwCg5xGe6zraBFClhIKto7dtGju7nR3kxDaNA7+gJvMC2onvdEzxYCBz0tfIZ82wTGZzNXT8IK9K
e83GvL3vEKLd2E5rF7CMkurFdoD4S6sQN6iqvbAr62m31CXfCi2v37lKHQCis5dydGSe9DdzEiUn
gToOj4tvdTeW305i5ViJZ60NoTx7M8zabIeAoQJrO3dayv5ZDfqzm/V9tWndNv9m917MyC9g18ug
LzYj5HrarFZ9gbcfFqA30kv7BYmZeSq1Ncvz7gVRdv5MCcfXhdrHzuRFgzlznXX3IZ8iZ5dlJVIg
y+48ta5gMp1FipViZVB4XaK8sg+UWPXrXEf9th+0Mqx7ne8LhRjkZY2E8FfLaUv+zVR+N4Habhi0
28tDtCvPfiuMk+A44y4Ss2IIiiJpRd0FW7YgXZALxDPzNxZcL0Iz8HTOhmUvsbHNMfNZ+DJk9zVG
7fMUYZ0rorHaaHVbXlES97d1ls33tmukD1MhSc9whcEsvStMDQqiuMbByMOave8ZUSpMh5pb7JSy
UXPCYBKC9Gw7JfHPKW123kgJw4hB8vuYTe03P2gb5kJKC46eLZAWsgVDcl1mdcAUUPX2qhs7dSCI
zcMHVA/uqS91Za8aCLDodDXl0eBnmST1VjnoSzhHsnVXIQNbU550X8yMgMF7iWnR3g089MHt1Qq9
AtcAvN+6cI8y63gSEFJetXtkvPaELytK0HR4NvVXXVj+wzQZdkgOBkpqm+3Kjd/lHLRJsOitarfI
zl0y5xOMeI90Xtzbz9iO2qthjd5rG/lEQH8EsedIaN9t0AZHH4RYtWtFx4KM0DOdbChD8chovWSA
zNsYd3ACk/IIfSwg181Dc13pdrou9Fg/NH5GjnxVS22FmtDVw2loE6u/cf3ZZBH0v7buv2rrAsIG
ftbWneoBbuBb9cdt8t9+6+99HRBrWqd/snzMf8zKAuIVFw0AQgiQ0Cbr0H92dtYvdDImnhGffXNg
Bqynf+vsTP7BgM6RHbQZ0PgFf2l2tgCDfk8ZMAxucLbJbLzpFL0/YT7SuRuHOjW6AynRnh9mmWZc
dVDxZ18SVVC3mY+6roFiJjQvegRpilavrKKjhov/KHj+s2oG40d0X4VRjqwlnilFufKp1x/9pqR6
SBon3dQ6WT9Gkk0Xo4J5mS1MyCmJi2cbROumWdh6XOsROysbdVZlejLsCOFaGzEGNVh8hExzDrkP
A4ls/0GN8Wl4yCdggwm2HT4GPtM/sSEyijUaVZh4lJrwhiIR7KhZSCbq++Xv4n3/7hL5F/qXT+qP
j9djXGnZxF/4pGF+Qp2YGvvcOM+bw0fe0xQX35ZV1cIo/W3A/W+bYy6ST9+t7Vkm+1rMPowWPggT
v+PEKGb9OLvdAk0AvZ/J8U0liR4Un0z6gNrQ3s1JFl3/8p/n2ZDemcXCqULow5v63YtmuinGkurz
MLichyttALsp0DI4IaZjDCd//dUcJhykCRIfRI7uH18tDvwxrcoMabk+Ovm56kq1RVzDencgKe/n
r/UJUuMs3xwiyCWs11o4VZ/BuxMq3QRHVHpok6lgL4pNFEpAW9ah3xns7LFDXQba+dMIXHCPfLpv
Nqkg8uzn7+PPFxAaJdihYIAXo463XNC/+4QLQ3hzOVAxtiSP86AVswjdOIoeA7cBgffzF/vzNeTo
xlIN+w4CFvvz5KejUbbweGeHxlDqvvY7EfYad3CTNHmCbDdlx+lVASy8n7/uv/ojPUJaaJRdRmL6
J/xQHmdjGrtNdqjGVlKU822O1jCOqypFEP+XXssGmcYKfJmj8fUa+mdAl51qoyGTID2k9PNhO80e
Eke9m29istyefv5an87bj9cispaPEvWb7XwmcmUlETEdtdtBzWo0wppq4VikljTCn7/O57HY8jfB
lEGPxCHD5Wr+8SIZ3EJ0bj2lOAvIRKGaoZ9Y2XPFylJazkOSwnNYTV2PgUExQIo2dFrJ+efv4dO1
s/ytCC046MgAgl/z+dqhOcvT1ul5D1Kw7zBky7xBkV8QWXN5rGOfdta15v9wnn98hL8H5/Cy8Lf4
wy0I7ab+GUMmY5fqLvLQfYKV+gKipjxCnZpvG9YMu85qKgEsowZ9MELQ8dZAWWdJAFw1fUeH1Hbv
DZKhYx5V0T5eVkKQW/ihMu3+55/Ov3qfDl8MK48lAePPKUSOFY3K07Q9pF3320zATLeGl0KbFRXu
6LLvoAUDsKJ5HlX4mJ9RiKMcJVEwOgx5bd8EfRAdptS3bgPNFd4W01mdhXUSeHL38/f656vWhw9i
sbJzqEj+tGDTg4pBABmROG70OV/nsT/l9C6i3/z8dT7d9VwxSCL5yuhCfH5+fjamGsRhqF/poSZo
7R5aD3SXKq+dm0LYzsPPX+vzcf7xYh6Z6x8YWBB5n4basy8cYU8Zx3nd5WHsRzJkkz+sgdjmCCsW
ovKEQ88YJu9FK6t4R0vT/4cP1tCd5U784+XqW2wvATdSFPB2Pj3Ciq7RTO6MaO8NxE4evMLkMIUB
YTWHeGjUPVs8/dtHtmKKCYAVV5OQUZGmeYdfiVzQGwEJ7RgMw3yHngE6tGizplu3uG3xcuUkXxYJ
CZcJQuqrKqzohySz9tmfCwg5BVpg6NGdu8gucvQ9vnMjofY1K6QS5tUZcvfBTRp93wNTOiUVcOkQ
Z7CGaW5U9zMhSIA2GDhdyk7v3wqAXt+URhnHzpUmOZiq6AcYZac5VmWL+KRCyrdXWPEFo9IEUKvl
dUuNUOc2gYGtab8BjTLeq6G0nkaUfO1qiiRkO4Ff/0chexuGFDbIBIF3lpxjizvbdjhajE6m34aE
w7sWsfODybJvYgukbFwiu/DpjmkQD1hgXHs32jrFUOVN4rvvoRWvstaDLzd2/hV9ENcbd3+cb/M6
4OVRAWv3vik4O3UxeC8KmXg45UF89pbfFTS655gcLHvTpiMUYI/t3mNQW/OZ50zx3LbzePn4eCMX
GL8JDua+sYjNxkFDgNcB7KtrHU29TM4QQkpcWQQSMGn+OK1gPtx0veKEgmOlvVZ1zhVZ6xMY2qIw
1B5AFp/djAcEdLKuJ4+YkewvQ6fjuTVjvbqzctNbBDn8O2OSJme3b+JQtF76rdMDbMxR180xOmpi
LFYs8okfiy3rya9kByTS5LMtIdV/K+LS3BoItN4YMy3YNEdA+o7SUt07wNPQguTddKfLdrqkM0vJ
0LON9LVwe44mfOXPxqzbxcZarsNyrKOjPyDYWs+J36ehmgwKGKMkfKWSBdeSV/bqHI8z3viI1muG
oC2B4zsaiyNVUucMcGHmdcYfwBQ4G+H7Ci6wjQ4z+C0Zl2SdyefqdRZ+dRchR90PeDNvXafWHl3E
cnyPsT2fY63IjrlfbALFoI5d/3SptaLd9hnT/njEIEzomrOetbqDB5ykB93vqhuWJ/YatWQauqbQ
z4ZVqePQ6u4eHXH0GPfepraZD7Yuaa9AlPJ1FDnepVSQj6DN4B6Kpp2eZtaL73PbYeVECTr3rIEG
Mna0Cf4OPd/aYIG/Daa6XNtdhf+ET9V8DlJ5SeNqPmZGsE0SlIxoUWusixbbFm1oEDYAccGOnh2L
3O/W+IOKcJaL4V7YrL0c+6Vj53QmXP3STfhm2IhPoZx9GEqBaW2dNn0iJBhwnGjMG7Lo1/qQO+um
r8ZdHpT6OldkXyRKd9l/22qVBslVJPO3oDHfmkETm0wrrRDHKlsGZk4HTfe/tgzzSQW2mgJmlc9T
DUDO6wK0U5ZvrKSZ3iZuOoY4ux6ljG7qyou/9qgiNok9T8ekKDmA7aVGKs351k0t69wr0d4baSGO
msSCqJR7yj3ykxtA45knAoyfrRmLXxF1NvvZqHGoV5GM2tUcW9nRIL/UWEVa7J0Gp+AN1QVICua9
pnpylG1tQfHgc+wlnnLkme2FQslOwtFdFmceDG847vETI8vxYa4d6odawABYNVLN5xxf/SYqEXjY
ORyFrEy7w1S4+OpgRvKiVNHnLtavvjOOV2+c542lhmGzPH8QItYNlvG0acs70TMU9LjTigMrS0oB
Mwfv183UIrnPsiqvXLGGMptyFFUjI8mIJ4IXB96+yWh9UCHkYUmZtw2UzqxrlIx0u8YsL0Lvn+Gh
4eNm0XZrt8rPwKLUfhb28C6zLTtNJJCNyLdVljt3+jCJresN8Zc+i8cba5jCPo3GY4bnm4QLDL6v
Fqz8aOVUplhiuzt4XUGXHNHfpXCoRl/slSy5MDNqB1qEQrsv5s7blHOHAwkpIIwa+TLYlf//2TuP
5ciRrEu/y+wxBi0WswmJCOqkzNzAyEwmtHK4Qz39/4HdPZYV5JCWvZ5FL8q6KkAox/V7z/nOb2mP
qFjdysAZXjre4ziQNbzXHZiwMACQE9eKegzyRtjAyr0ctRbKIR7etVWTS63J1gvZQQckchhAxBpD
idfG9P0tQc7TsZXWhVfa+kUQCXzXdmCc00euKGEqb6+8IrgpopZsisiKLDb/WWLTphBA/FL81MCV
giM3NbgdHZTofIQXrIzW29DV9O7Gkxpdg7bqNn6NS8l3eQRQujarKYqd/eDh6nCRwJH5l9r3+dTV
1wDIrVUZGdkhylpzSRtIN1bZr9s+Mva94/BgB9WFS/tgHZWBCYmvIFSm9azzII7R3DdARSKnNTYQ
jOp9oc/Nrpg7/1lJTomFpl33HUO+NURFkHA5BsF90ldmQYQJo6G4i+KHSh+tS6X79ZU+Y18kgK2G
4AWcvdpOuVbbZHn1xZ70Re+7k7s0cWBznaGj9Gu8YHZxmLRgepVsx89R9Sv0TRpOQ1IGGKkzz+ab
bgeDWDqTziU7dtRCSGXYABj1sQAnx9sFYW7IyuK6IXDxyu/GMbTaDp5UCm2tHGeymH2c8wgN/LMa
UM9FppDs2HFfvuQV05MtLJP20Ubhv3Nd4rMDp8R7B52pPmiqopcE1uLB65ofJT+9FW3N+CBwZryV
XTT3zzojiYFFAL5c3GBz5uOqg2pKKtxY2QymKprStV4zjXdUus1L8+egBXj9cX2hqg8INKvieLpg
fFe/eEbVw3vImHYEfANpwM77yUFHzeBNXht6371kImfNhs9eYpoPRB7DSrQxtzr3UleV1/3Ec+Lj
hLarMfmdaFOLe7Uj2jO2ZcU2SWq/WzepLkanMS/TwVH3Whz1L7ZI/e+xCgQh4xWIk82IG57Gt4Mn
wyPupiqrEFrcdGTeGsBYdHvibNC76nkJc8HvC7CG7TK5HHJjTRWF4MGcvI0sWroaZhthWyhGi79K
jqFdZfoFoY4FwvKBbwajrKlcF0q5LtVlncC4z9oxNKLFOiDKRm2kbdYsZxMeRt/KTNAdpLkcAMvy
GTHoDvFc0pVfx92s3aWg6XdBjqer4aOwt/RGHps5VT8b9kbLdKSAc1JyFYSf/ojM5VGmo6RfJF5j
wlBh+h26ugVa0zGtZ81stN8m0o/zyJ/iO6eaM+A7/CwEzuDeAOK3MpUjfkSNnVJO6sGaCfw9hXG0
lZGrI71uv7nWQ8zMFrwry2tURDxU5YPuVPpKx9jv9eQTZF41r5Ej7pBo4f2r0N8iTi9XI8UJ+JsE
O1sl0E2zx15Vll2vgzF9yQszqdYa++SVAoDLp3LxD2vmTrnDK4S2YM9e3l63DA12OVajdV66R7Mr
wQelvbEqHbXzY6AhSJ+1jRfxOOvZaJzBzMTuaeBK4YeTWvl7c2rzVVlOxZ5YkvG2dWFWmMqPL7Kq
/601jBnaGfyM2/fmMaWxu+3oZh1T6GVhoNMeMMceh0Yj1B5Qr/6SS0Tq7PH56lAIHW1V21uS1ttd
OUg8EHLMznNj3Of481cWBdeaTbW7kURLDciSiBwb3dAR2Lb1svfZmhAZBBSCD0QdXY9Gx4y2yFDF
ye5VCq3eNlo97w03ZQreBj/EpJU7MTXumWzoHcwMPrKhu8GY9Jy69q4meYk6Jbisyu5Yau33oZyv
FKElyJPvCY66YMmlYYSo+swV8++sjR/AXX/zzGrfUE2vqww4kJ6iIsxpUnoScpOjd+tZLCo/zXDu
64UIpNfmyxgYFFaEsW38xDwUWM43ganvMtWgQACrqWL3Z9kDJzBLutorR2NHEA9KPRIT/HPEeOpi
S2X2W6TDegqm+FFHpIfRVfj5Ef1Oj/dnwimRWntj3vZt+kTIURcqmZw77b3u9wphUBtsky699aw4
Cb0hyImc6dWTZgp/O+KsBU47iHOlhBaiKlhe80k/OlbqPbkdwR1pSYYseSNE16StS3t0yJbthBcQ
LVRjKNiCyXvLxXDnc9k7mtglwMuJ8Ql+4XCZtKPWFDR0Vjk0SH1v9uZgnTH9hgK0ahEcXBPVuvye
2ebZM0Ysd6BxgVbsEGMNCBi/54x/6WraeM71DNQA/nnsPzn1UOhZytMuJfaIdNNpddautICmqQtH
/TyBe0UCpBl99+M8+g1qlReQozJicNBACEoRNlLk0dVsi2Iee7WpWV7oMy0zjalW0XcVs0GIFrwe
DD7nLEtnMov4xj34bTRdaLBViALDmyun1tUvM81J+61cwjJK5bEsDV1mrcFDsTsBVNW/ZjPBaJk7
Gee6kc87IxbkF+XklMSlRpM7hpf2Deix3LqOYCfCBFZ/gQLjOhcy6ZctLwnJ0zoBGv7YQoDa+IXm
6vvGIIqH2p6fhvSgbROAugulFomdZ4Dk1ZkQ/3CL0tykgvJvBR332hHzOsdFdKjICUViU4uDmXd8
SDsrOlqJQ1MAdfAFuA96BMuk5u14fWOT+Ily5BC5pHOxT8CQRpTL09u/AjTI/Ka7bPvfgtLAU88g
UPPmuSsle7BRmHQJfGu4GmbKHo3NJrOeuXJvyWCfLhAMOyCvZLt7axRDpWKMMtb+RoGl3RRl2uB3
TZMAMzt/YpmQo+LOstq7pdM91rBED2aa8YusIzOqPOIfnLQwnkqlc9crGLKHaBjFQTjVeJ2P1Lsz
HvRwzhXBds00SSBRnJdd0gtvHLZ9LdB6klmmrN1TqrG3VwpA4abPoyGHxkBXhOYliwHudObraMFr
u3faQx7pZcnzT4TReVDHzTPNPzID8oyOoj+fBUJ0+LyKgNgnvh0S4mg81zuZD4N9XpCNdukgCDmD
XM2EbHZoXkVzfnx77jSikXaQ9TXKf0mMoCjmm0R2mH16uA38fQleR43hMU0Rtlk3hVquSaGYshn8
I/dqvISbymWjSbleYDsXZmVU+3ppxXWK3CVvirC2FaS51TUB3K7NEyBtnd8O+uUHi8y9jc1A2wZJ
74PhQd8jvQaccuXpT2QYzbDQbHHwquX/rSVXy3BHHljD8qaLnh/aIvAKHAgXmv6UgC3ChS0BqqUd
z32iUV4TeUPo0FvjCYZC9Hs2bJpKGbF71syPZqNWP9NKrKwNn/P+XprosANjiI59EtXPUUKc4YTW
rYEvwCtsW4rZ5CCjY9QY9XPudYjC2lGDZt31hY5qoIiMb2wOOMMKiejCWohzKmC0C/ugSs1z9i3i
kWBN/oUSnsNR1VymviOAbshlRqXFH252efKrnMvmufVTDj2qrj9Ce4gOkpZruVK+1j3PEwYrnY6c
bPnvAgF7g8X3RTldv04MCEGNbH5WRLNgqSQesutFdNQld0fKiJd95A2M1BTQsaiCvRS93Ma1O11Y
tMAvmpI8LjGgZV3P7mycFbFpXAGFjo5OYfGXL0EDYIhZDve65dD8YCzqb5zlKRiwPJw7jUNLAbcG
hCYfcR88csVT4s36S6xn5K8B6KvRiDTB3quFE21qdqcoAFkfA5srFbuxdjezIfjtRdB5V4FcnkGx
EETheERHRGbEsvnkfIaat+Qm+h7bPt9N+lffZZ8MXsQYnzogHz/G3l+CmCjIBa3UJt4mlBV8GUnq
Oze6vrpMBqnuUn3wfzW9Hf1O6xH1sJMUEzg5vkx2OrQ70IpgPgIsj4c+aKPvmbtEtnUCL+LGq2lw
b4om/U8+3/93zH/lmF8yRf/onm+e5fO//fGXz+Xr//lfF89p9foP8fq//ot/ixxc/Dyk/drQ/ZkP
8PwxP/hP9Dd4T5/vB0J0UgP9xVD/Hz+Q979tx6fRT3wrnwwTVOd/NA428gdn8RcxRg4YCCB/+Av1
+ulQgWkCG2Z+h1kU6nV3GW78MS+dAuijgNZQEEQoubbOdIFr7Y+r8fVMn1keIg/H8Skf+ZNRUvzz
EIyQluIwmEMySVb57K+gc5CWwiX9vy6s/+Ioy4n+cSLYcMfRSTiKV/3otB/1+CqdvxMnvDuRk9my
l9Y2W3cOoeYbT78hFLidXz4/CwNzwsnIg3grxvUMeUyeDMM4pWx0hdZkcd+K0NEq8bNm/DuQ7kkS
LHXtHDpRXnzDHcTqWSg+0Z2udmNnjVssv8Z+GvthnzZCPJjJbBmgZ7psI6R3Yzpl72yoRYfzQAAm
riOhbyw59juD0NNbNHBUX16psrtpaaV5mZeddW5Pe72mWeA3G4Lgu21RG32oMhDJAeQmKlFUcrnm
JRdgLKdV3qp65aaCvAqhKAf0wjvTcRswH8KevUqcKbnQW81l/S5QUus0RhPNgbwdl2pcgYkuNkje
1bkKyvk+JaB8Q9YdvCCv/emS1cassQRQpLX9pvPmcm+b3bmdm/J+rCb7ZsCNttfoWW1rUKyUOXh4
C2XYO1h96N/Gxrjw2eFvgZWNYGnH/ptFAtHe5oNw7s0EHdezb5JQDQv5IorwJtU0B9ZxrZKbKOuH
n4Esp5t+toBYudEIQ6LHGaCl8+tQudFT0qDkIMKjmO8ZTjrWZpiNVyFGrVgzRpO/tRa4/nrMCvkA
MxU45uhK+6ZH2A6WiguMiuOiZpsuV8xlGhyrjossOJLnsBQsiRYYTWSE3RPUARwmWjbSQ4GYaZdZ
bL/KDlXiMEn1K5vHe3s2XwPwEd9HE8+zrbT0SeZgAPSJxu9KJK2xrwb7damIg1UytHOYtSj9iUTh
JjjRLB+Uzu+VI39HNnr5sQyc7iHVJm8Nssk7K32V8EUeIjJhBOYIFIn4pEF/xZXVbwLRCPBi7IKQ
s8Pud1w3XgdQsrb+SKANmQx+TGi2TbQEyYLrzJzdddtmcj+Ufh5mTtbfkl6rbiWeX/aaAXzM3E+d
myJG3wlCKT8y1obsrdVq2zM5vvIDLicoVCPalPRyNyZr56UcQHseMsY0ZILiJ1uNbWpEayWohpDD
xwznUv02q1Q+rsA8OVcmQPx9Esf63rBF9BIBq4BoYWrRpTkE9JjzhJHWonVWoEQj+4pkUXMzxZO7
BgECEL4R7XmrLZubcu4PbtC41xFs7T3SXOvaM8r4fLAdwFIt9RHaaQSoTq8zfaEBcWgFiSNKjZi2
MUxGL5IJJD6OoZYrCxb/vmYc9NvOcv837S257rRuOBNgWF6SQDe2sWptY7VEnG21Tgb0g4PlekSY
5DfGPP4qmNVk664fi20SM6s0OmMKSz8wz4s4tu/YO8zbaPJxHhNxYex9rxJ7B2PAk29GPVJ8J7nR
y1YPe9zb7sZWI2W9l/Y0auly/jRyCBUtvLpLZY3Ds4Dje1GpOLhCrG/dsQlgpoShQduOreGcDWY8
XVs9G0NE6/51lorqeUqc4UZMhESPWSIvR0Ce58ZIOQ0zwjnLG3ZhRktmBn5n97ZBRk6s1DSHVNh+
v3Z04txXLVAQIi7NSN6IWfeq1axHOZh213U2zP9rPD+D/ttOiaZZJUWd3LZYQX85s9uFRs8iBC23
2/NoMLx0A2fXTGQ3yHqIy03XpN2GrwpiaN1uz4rBRbOe1G1yN1PxxSvAjPymEyXuJgtwsjJSnI/8
tfGdSdjlccqn9ozZwbQuiCZo15lbAelyyiw4+FQMOzTDLhPBmHB2INc7yV4Ca/jiPUryFOqFCyRt
TZeQbW6gy60+CXH4164yaf1phwRX23qRijDBgFtb9yR7YuUBLEgyL2FRVSHal6GVkmWsz28KfPvQ
DuFDS1aBHyC4ZpiMnheSkNG/Yn2ddyaqk7O3PdNQp2QM+4gsnru8Nl6wqDBwLKjdf3cBE/KpGxne
Gjob3mWLZVauA66FvRGqETLVZ8dbdsEoGjufvnbvk5Wz5RmeubqE+9hGvExmlkMy+6OzQhemX6vJ
pHa3iqWxlsvuERR4t6H25V+1haVt34Ks37bzZkdyLl1hSl9CZB76tCz3b3Hd7MijbTobOv62BfvQ
0sbUx6XYr9UzjkB58D3Xz7FBwPvzo1wPEdMTdzSJ/jKg6cxuNQHbIIwgvXBzPAyGBiVuxbRsDGt6
+ya0XsM6IL4HO0DrqTwCmGEv4MFHVEuPfA5JRucP1kciCuAJurcGfp2nt0ltai+dmTc5p9P4xMUO
Swz03CgOi8c/Oo6z360MwYb2LUC5SV0kXdrIrfctjNC1RxtEFVby621HmC+71VK4zlkEuIVNClg9
vEcI+iGj+3uqUXGwGi1/GAKMThUx7rcBMbhbxxakqEo6C/Fb/2j52HUBE5C3eKPBpdtD3lywrgPG
MQk9pWtLTPazQQjGluiD+YiiPj/OPNFrRFzwMmy9es34hh+Y+3Z3Xe7ODzxI8bWbaPGVzFRwW2WM
cVwb8WgqmmrvC8t9khSkcqWgpwIVreLpXzs/M9LGa9JmSRPW9P61ryLtvvSaiA6OzIyNr7n/vk+5
HKPfk84fO9rWsNPtxrikH6LdxSAVrnGCMFkoTBzHzph+r1Tn3wR1P+407HWPlprsx15o9mPmNNMl
Xyp3l7SJtpkAs27oLdBDjKL6Yo418a3GFb01BaZwLbfGy7erLh0m83Xn+1dmru/0qqr58HXZGfxZ
Y9XWOKQrhVen5kHcjU4NM5AZyrYK4MiWk7S2TVuCcBW6zUvsBdNRsY++inwjPjDyZ+zy9iyT/YTK
R7PJo2S/cTb76XjpdVW0ZYxBchMknXbFvi+/0tusPLh0lp+CCH+WjJDWrfyUjyE2AG7/jGCZmML5
wsCmgtEqsOBpTuzpndlY2hJIHvJpvGRRmA4m/O4rT8wzsERHxfQRmulBR9vjAOCFVjRDwqDplgfn
BUShlcq97MrKE0wOFs0vW5FRivAAS6Q30FcUzXjVeh2fbi/BCuu1Na2JcS69fIOFn8wc30gCUjuK
/hAIxpSryO4YgEkAn2tyu+s7hRJtp1hwqIEYCJ3h+JVXLW1D2p5ujyqaBs40GM2xRUOyQ+4L3hMm
rXbXEUsNqKXsqZhtgFxFTxdQjzteTbh/GYbARZvp9y0df5JI9nQiigedVuu2JMzsaAWp8fImhrBL
Btz2MJBUHfg0UMa0tlaavWiGmBpvU9ShTLnQ+4jcI7VmsKetLycB3wg8KF6RHqFMSb7MuJI9Sp5V
1Vnzje4yDsGuQiTPOuIf7myAy0Q80dk5V5J4uIh/9TqzMLCs6rmNws7I7H2qW/MBJwrsdNB+yxld
eclorml+JJcEtJMSrtLy1hxzsWV2XW3nJtH20qlJN7CcyfwxVZMPL7lqb8GqIJbLU+2Midm1wty7
ghCaYHbRXv0WxIFhV0+WYhRWZFN0zmnkm0KvWTmduBM73xfDtqYNsyf1qafDF8kzxD8CeVireyQo
QfRhGgvbLJmuTXoRZJe45U+v0n7S87saoSLszHEol7qtPWAUIg91Tu+GOpnXJFHFIavVngvRrxGk
VpuYOT5zMP9Jq1C9A0ggoCrt2mjjDwvHzWLgoPuSGbvT2KQgNZwvpjSbqsqECgt4hwYofMQqidc5
0a5bl6yydFVbvQKRkJHupXonzKFJkNim4IZCAK9vG3TxBHDHCKJWpZmcJZnbXFdV3jxpcU4EmTmV
2IQahnG9h0LMQCazKfwmP6h+mmE6BzmJ4okKtQTf8QaWpH1t+2K+zkCJ3zawiLYoADzmf6MgD2p2
3S0MGchyApRzAb9x17c5W3LyYY+YkCca7LJ9CcRcnoG1tOjrFk4gNkMdWwMjIjXm+VlXvVDeG99H
t/IvjEBJfS1MGPh9m4HIMGs1XEfzVB/kRJc508gOkz6SCLOE6s7sQmM4IwR3cYMR68VO7HZY9+DG
rmxDZjeVI+udwhLx3RXUV1iGE/Ny8gP5He+ydwQlWj1Gk6dHqxY43oO+fCFdo2xoeftJOFaVOktS
375Iyk4+YrN1QqhDw7Fw4v4MqHT+U9oZUoOEtEjgFjK67r2m/FV2gN0IEbCfGabUeOywSB8NAA/n
QtJOd/EL0OzsK5u9bgdlYtKkfW9VHkmkEXFaqxSD22WtTa957/lPZu1VDPVnfx3HxbyEbmTrrC/J
anOSmVFKAvJ7pbQRPsokWMmyIguzpi9Wjevp3F6+tseJXQUyUmteDYa/ibtm3uApu9MK5lKVbGFd
M8WhceNDX2VulRvNo7Aya5O79HWZGnst3lYq4z2pU+VdnZf1uZwL8yAEE1zq+RJ9BFa9vPEV6Nlu
0MqQ7ZKrvU4SuupqgK9lKNd/kBooafad/p5dzLAytTS6pxsqz/koFteUitnzSF7Yfdbm7VOjmtHb
NxqWtlUatWmO3dgB6prnlDS2JqsbG+ZotX7rUebCxRenxJAde1O9xoRBrhTtnfMx8Kszi8r2Z9Xo
LtwOD229ll/OdY9RubO0Yi+RHK2ZCtXned8AesK7Ji+Z4seXGcXQKrOLrCNfwmkR/Ljo0wT0MN7/
X1C6cF3yTQtWChMe01IJ/bvu1HWOmWJjYy54GAUpgfoEI8WoyuimI1ntxdKaH3bWDT9QRd3OCj3X
zqPvutFoue6zdmZlbzRrzatW3ELtgVuAPkx8c3TSmNeRi4wnUfpu7nuo4TzxWEBre5/Aojk3c5cm
K0ReECRlwN40M+MXWtAdM1MCtxxLw3cfj94dWx2+JygUfyzg4E0TB4/2CHtdJ096z6+YiOZbeWun
9i+v8MVVX8sJV0tEVkeO+IXrNmUXQTAPe/IzuGKQwfZwB8BKawEXxYq8R69P7Lu0J70jUykvrAhw
bVbUVFPiBjtHc/bSSsxr9iAPSwzf1djM7rFFYraSg3S3TVFFz3VAhGdBYzzUWiu7JBKPQb5D2MPK
hBgcgopoCfAaqm8EHsZUuNpNWZbyIP2pvIlSzb32Wj0GfuCal8Q9WL+NGFZcnQ3NVqgUti8Iw6vK
GZPzwsmdW7tB2oSScYZS+T2rcMonebcvWW63fQNofJajfhNFyoW9h6q4lnm9n7Cv3kpW3JUiiWIb
BL2+F4W6ixXJh6Onu0crrqe9HMSPJKi8MIN6v2ZMMR5ZSLUQfHF/TinnHQfyFy+7uM2pf+vqt5JZ
n24K2bxYiH+/d75UqACA++YvtZ5l+pnRqIgU7Cjb0C0h9zPuzDtlauO0hr/rBJdpIeBWk8YFQ9sS
5Dns2mqc2ZolgvH6JIq7qgwqZAhTsE/SRc1PC+sOGeTrOCIy1MHUMI+2xFGfh5+ew67BKUwy/hyH
TVKLomCGaXwoSUBceJWhhjDlyPvvAMlzH0oUNWs7ApRJVVhsaHf87MyUSa4+LYE+fF+nYQjV6D57
bEHGbD53hH5DDeXSOaNNpCnf+GkHxXBm12T9ua1FIyWHORlHRtgHWvQ7cS3nGtyTedONwe92tLWH
mFfv3jQ9kWycriZZBwlPtOl8mIkaIRl7PRgV5AWyiKA69SsfUfIXRoX3XVAMfB75vuROG7556uNx
8dkDMvZFONj073qNZlza1DyT7Z79ePmF0vxdFxzSNoYhAxE/gBn31OTiEaREneSJcKpjhrTopFcp
ae3bIm6Kzecd3o8Ohd3MC3zHhMNxqmjXOxdm/2hwYokf3xFjzCcj640LXULP/PxQpxYTn7MiTgsH
IwYejnjSrwbYrk+wpEVYiUqd54VcwO8ZJScP76qNx3IPPW/62yY5BzUNy7DowwGkOT2ok0bwvGpg
XFPOVQRjzlda0LJjT/rvWLn/p4Xv1MaznB8vNCMMD7ug7Z6YA3IW/7lpNBGWU0JORhFpGYubnx1y
k45mQfvjupkMOojFnFwoQmm/uL7L4OJPc8Lb8S2L+Q38YmY0J4ONKbabRM/jLvRLjQZ8xQm67XD/
+U1cTuL0IJbJg7n42nTGAv+ca4wGnwsZmCKUktatNyRUEbFnRZeFqc/hPMEk7RXEy1pQJH9+6I+e
H8vEqqgHDG+MZQr250glcOzRiE1LLE2SCQ2aA38xWxrBnqYX7QqtDYGNCcmjnx/2o1ffsnVqc+4s
FnhGX38e1uoCt/ZSDuu1WXEkHe0eSuccxmR9rgKP5/fzw330QmIUxlsDnHoJeP/n4WLR6gZ6IA7X
SeeuNds9m39gEzB9v1hl3plqlgcG6pRpswNnodFPL+g8//teurMafnZvz+YUqV/gQ8eVRkwkfgn0
Lq4/689JtDSTCMD6Lx5aK/BdAjAtPKjvXhrPkjNeAIEuP7ZvHHggF03MEvv3F5VbuIyvdAafp+5a
G0+KskuWnrdVoM+WnJ9gGgEAZ80X9++jt9BGOODbFl15TIr/vH/5qCo4TgMLKql/G7RzP1y//vH5
6Xx1jJOVNHUAzPGhFiEi6ouZLCjbL79yvC03//RF5/kDgMSj6HjvHo4g8wdhShE21K4XsdLNowmL
cT33Q/qUaKwwSJT0q1gwZoHhoB8w8H21or1/9Qh0dBih8P4FtC5OVjTbaZAP1gEcbAMyr4SstIZy
2p4XWobypwmqzd9eV45HIC9hAg5e7NN3r2Vb5U+YfsKyInfBdqcb4EjeF6XE+xfcYoYOHI7WrolQ
9uQFD2JDEptTtCH8WMBVDSleeArOPXJiv3gUPzgSJ0F4A6APfE3eyWMSdGk6T5NfhyxtqJa07sya
vLtGZA+fX7YPbpPh2aaOYW6pjt6COf+YdRP2lVuB8OpwTvWtKJ41n3jZvFoEV8fPj/SeIOeDq/vj
UCffWHpU7uLcwCrUBzTuKztelYMnsccGPZasvprvJ3DPe9B9kdi0Nt19Hfbmd5ct61bOptxmTH/3
ZkcbrST1pWRwhODL8bMGCtuI0HxI5ouoYB9IIp2FWJRpEfsquS1Mmcmj1xfj5VArOtgTvt01bTaA
TW46f3GiUFVPXz++4Mz1dF4AA+/KydoMvVqzgkpxTbtEPgZlpV8avf+NmJH0uZwVpN2C/BMEVd8F
Xvedl0/0TEbCP/EFpQ6TWaNtcsTE9yVJbWvpEr1Xl9+awb+YSQ8nQStvtx0i8VWbAsKPRGahwxxq
NFo9XHMt09R6tGs7ZLY9bKTEo8dxsg0tPO88t9EyZCSVrUfWa4J/Cbf34nFjs8AEXC0TBA4JUvqL
twi7Pn8CPnjWTPz8KDj4ZlHyL0XCH89aVPYt1cfEdcnguvdGYB2462MYk0lDkmVkDeHnB3xf8FgW
FmXbwcEDweO04MGT0PfkvJEu6kuoX2ldbttYyHOyu+Q+8snvS2i93kFvi88+P/IHry/VnL7QItGs
vNtziHjqtUS5Fe7BaXrq3cH40TLvucOonr1+fqgPThKBB6sRvQ7+d1o6MhdlvzmpKix7wVQEQwfp
qgtFHauJOLhdnvrrjgH7tBpMmvafH/yD86SuIihDfyMUn1rPCVSDjVBXVdgR0bdvh+ouXrzefjaJ
vy4D7GWRMjDwsr16l2ZDD6iLMY4WIZajx2laEr/9ERR/YVl//ZhSbiCYQhjF7uOdX7xZ8hzjXhXo
CtSwmV0ar1Z2NQyOu6Px9OtvL6CtW5yYadgQGJzTz1acFk1lFy2n5ZRWiJ23qpkhMtPpCiv/imjx
/gXkYJQ2lAYOA+3Tz1eLNiRxVcmZafZdYmmP2NN+ZaN1hyDwixpkeZf/WYJwKLalLqfGmv/mxv7j
XSdoIiVwDiEGtsStRa80qJ1i5RX9DDkPN09hflWNfnzEgFIUtjEv3ennxW48H0NyHrZGf8yD5rme
jDtryd0kzqmAlWme//2to/BeiNhALZj2/nM5c6Ct4L718lBT6ki8XWjbOakd+heHeV8w2jp5aUvo
DYAJ87Sh0Pv6mKb8dEhwymIIB1zWjHwRPz+Z96sIRzF0ig1QDsRwn3yzcMiMRGMYeSgsOlp0etCU
qt9e5d5krWSg7s9ra6q/WCUXHPq7p2RZONC3Ex34jndAUAIOgIRmQuDgYx+KgDZc1eTIzAOm9HPF
ELub4LGuMMzlyRo0aMPYS/f2cmzjQ8EceUd+yN08Oe03hLjQBZqG4mApC4iqc86Qxbn3gQnkAUeg
88Vf/+GNWYKIGAbiGTq9MUgSkoLJRhHSna622RRkR22kz/n5jXm/wnJj0FXSUgJN/K7kLO2Wz0hc
F2ElPQhpdR/quXHne/KrquWjWxG41LasQy572JOn2SusqmkrFqKxsRCyRMlhdPVx9/nZfLQCuZQA
4BfYlHPt/nmUGWzRGCstRzyEo6X3+ExhAERT3xUv6PX/vopmz4hMlE/Gwkg63aHifXehOvKKTnn0
a7l2InVvShE9fn5WH708CxjZQ5LLxuCUiz92pAjNNS9PkTr+dT4ZjNgi5xfDlnonYsf/ORQQdugW
dl98qj5a8964/jSOPtj00DrVE8vu8zAGTiorDQdFvGuyhyabb3kRvzjaRw882x6Th52d5bsmGTAE
JKRYl8MmJk+3dB3vZjBxZX5+Md/xWuAf6VxEz+RzZCFzPllXA2WOyqHlHvpq0B/SRK93xBOhR8us
vmA25w33meHXa1XL/qqdqvzSKTxrn/hoOmdMbAyWCewwWjzm+DPQYyiVfbW7NT688h47bN5MWGan
hY8gptQZypKvzWgzJpDtsyGXkFXL7w6p5z8Sl9SsPfJozovKSh/yoe8OUVD/SFB0zO7ivhxK+0AX
KVi5k0ZcYMJ5fH4hP3jXmGlTgnqeBVvg9INYePwN6Ui5PVTzr2Y25E5vEFNGBfqV6fnzY31wOYw3
jbGzNGqpuv/5XpvQJ3RQ/pT2kfFLp+GwKR39uZuKKvSCaolUceUXFcYHL51hMLGjouGL9a7E7kUx
jSKuOb3MeUrSGBoHqh3mGGJeWbgz71sxtBvUGH349+cKoyxYOlIUiKcrpU0CQir8rg7Zq13i8RN0
pYsbuvGkveXxw+Q78Re170d3kpKNNgAQ9oCl7OTqukwbO7utQ02P2zUsXlQJlSVvBqAHYemykf78
DD/45nCC1FAWHzaKxZM3sIyEnaRkqodjHzO5sMWw0du63VgoYv+bQwW4332XghFc1z9PrfHsVJYV
WzQjqKtroMu4NT3pnqXKML5Yvj56Ri1eqMWHsHT6T57RHklcNdMZCLtS3UH1eHUcgjc77l8atzc+
pva/3hyxgGG6MAGRMT45fQGNkVmb2c1VOJMVv9K94Zsg97mhD/DFgT5YmGmpwyGz6Dxj41ju5x/F
djPj1vsf9s6kOW4ky9Z/pa33SAPgGM1ev0XMEZxEUiJFbmCURGIGHKPD8ev7AzOrW6L0xMrqVZu9
TZVlpqhgAHDH9XvP+Y4ZcQQsYvc+nqZ9MDcf33kkBH/Hm4L+h89480yQf5pnjsNnIOi3VhBc5QlE
jXtjDx4QmUJ1XEUTa5RqJbSxLP5UqxbOrcusdgDhSvNvQA1ZpUx6HXKLDGFZABtwQ6eib09kbiXX
dkjEX6VxaEXSrPZlhziL061eI4ONjokbMKQwJ8yK1kIzgmpr3cxhidiqsuBp1GXX7s2RsBYOUFN8
BbiV6rBezOFwwa+SyU/2hL3oY4Fh9HIUSXkxEjV+CPLwY1rn3ZornO9KekXtKkEoeECcSDiKmuU2
GhIXsXCuzmtHpFCOSB7//eX91bPpWL5v8ZyIhVL64x0EfdL02uPZRCb81Ez9U5DIK0cYO1HWmGqh
lf/+8361wqm5KfZo3zMQevN5bqKrRsS6OoDuXnpOl8rOj6qv3ilefx6rLcRTW9D4o0fghW8+BuBI
ItopJIDPzK+lTFs0g8HXJv/EEPoCQcp6cO3HuK3eOTK9je90KCH4XLq0XFEO128LslCCwZLKpSdS
6/lzQgrfKmgd4xqji1ls0cxwxmncEh5BPjabgnAKhtsVG3lDsLyLyt/NlHEU5mDsrN6p1hHCUB44
uWfeyQQ7zL64FkByNSEFBEkTbwiN9ui9+PMmtqJbO8fHH8xus8L56OS4CrHnZfw+oB/kM54P6wN5
nsCsJyx4OLr49+XsrpOuz7Y+7IK7Rrjv3Ypf3XEPAC2UW9oMYsmS+n6PSM3OLaucLEQAYprp0kor
c59b/fjOk/Wrvei7z3lbGI1yJOYS7NUhcBdyMv2GNdEe298/vr96IXrQ+pgrMG+DSvrjlzEbW9YN
2KYDQ6dgrRfLoglnPofAn3T6HdPZLz+MfiVnFtK0fip7vZbNqCpYK0biESYCOAHazw4FKFrqPn3n
8v1qI/Bo+/O2wLL3U/FbaC28DBXVoc3aa4Bo3hpSyn1dtM99imYh8d65ktavnotl5s0BFgmB/3ZO
M3ey4PpSp2VTAU1ktq1TMLfqaNOL39TCSA6ObHB8y1DcpGaUHHSMqSGuU6L/4iDfhbWjP/lYgrBn
RDHIqt/f6V/+emyItJHo34ZvN0Y1RZ2RJ5Q5qpHPIozvEnu8LQQ6kn/hc/yAkyLH38Uy9+MT1RHq
nUj0eAdOopJuTv9UaUNt6qF950X6q7J1QdvSYln+x3+zDoUKcXCgvTz0eEaSDomrqq7b2gUMb12R
jvaxLMJ3GhW/eoC/+8i3BWs2OwUaPbM8kBu0J7bhOXQKxO3eqa3fi9wWv3p+FxA3vWhw2/SSfryO
/RJuME9+yTZj68c+kS8wAUlcLaxgTfs2Xi98AEKBzGqbNovXwLAWZWaL6A+00T0pXsl91EC1Gmwc
C7ja8BklfXtLqi/436ooCJ/pgt3kq+AucNk1AVp1CKaMbiL6Zmlt1vaLqWzsLPAQJmk+ZvVwiRRH
bqH9P6fBqFalFul2KLV9KxFd87K33Xeepl9dhXBx6tLi4Ll9O4AtCtmRxSup/OR8nPvZWvWmc495
/IyeKaHLWr3zgb+6xYszC6GMT7P17WWXmRXrhmLokDYwB0Y5tHL3SicQMXCdVbdo0n+/YF61E28K
QhQzNl+Q5cIx882djg1dMCUtyoNXzuE6UYN36yTWuK6Eds+Suiju4KHBIXBQTr7aBYIEFEM5zMCp
kPTtDQVa753L8IvrTrGxWKCBw3OceHNQCj0dwEERxQF0pLNNWu1dVAllo87q7j4DHk1MVvLlnQvx
iyYmqgS6Psuu7f909o0nd5bRyIru5ggpq4idHYJUseuittvDXBYrnhSUky4YRBKS1pqZDM4L5z0U
sfjFXrn4wpFjwMxm0Gb/uPZMpBFe2aclvuUMjMqrryEVoC/QVlfuGVfGP/YZamQsVlDKCprIllEy
R4UnMn5QQpk7rSNwE698+X42P1MWV/tE8UjhmCIteQrdPZL8Z40Ymy173DpelmzRCjub1qj6Q+I1
/nZKBn8TxGd2nYvbXFTTFcsWE5pmIdwnwRCeCtN/MIGCvXMw/9X3ZwKGB91fJvRvG0e027Ki6wXf
v8inWzClaFG9Kb1PLSPZ/f6m/+qjEF6jNcCNzmvjTQHC0Ake+fJaAkKabGQTLG6+SeanMCni+99/
1ut9e7vSlu6v4PTKa/Dt8b8yvGJQZcrhYATGsyKGSmP2mh1rH8l6hLFaWGdWbUYf+slWl7ZtxNd2
b8AtEYXcywqcy+sv9LfwDRfp17bu6pf+/yw/9rWWuiUlo3/FB/z3P32s0Z2Xv/0j++d6YR90b//Q
D39t939f/3P8XC/IhB/+YfuaMHE9PLf65rnDvvMPgsHyJ//Z//gXhOEdfAOyvIAd579QAr/AN4Dv
eqq+fU9w+OuH/iI4+O6SRbEMhk2OkzQH2Mj/QXAI/6D6QHfEaG7p8/PI/Xf+IBNenuzQWUr37wkO
wv+DWoLjFc1Wx+dtKP4OweHtW4ScC482OaEXJjKan7SrlYkhv0xywAex5c4QzJ3qnHmu/lQSwoTR
wX0Pg7Ask++fbD7Qh8XMG4vf/OeOMtjHhMQ0Tx+miXLXNEa8fZ5K99/dhA9//n3/hi74A0Vn3/3H
v789hfIpCPIX7arL1vjTy7FnUjc2bjIddI/bSdlTc53XLVEQviO3pqGKldXR4nKazLjplD99+v3H
kwHx09ekTWnjQiRFkXv89hgMMhrajfb7AxE4xQT/NJl3hZ9ghUYoQYx20p6INOdtgQ8CiqkEkrlA
KFMqpY4p6y0cTyte1dD2ODQnKbQrC0tSMKt8p+2cP4v7qyzXojDmcTVJzME4iTsYN0ju9QudhfxG
ZAEgV+xIh8TBAx35XgNx020+4ybW+4X+nK5kbGk6Hg1724qG63wwm8n6iCZPXrYQDD+COsBRKWBF
KK+TT0FZpiY+j1G/JB3faKyK8a4YCKDrsqk6jyyQBTjzCApWtV2dJ5FJ+zvV8oGwEX5QTWl43oHr
2VKRRzfhCJR4M3bSrI9cqqok38rkZyM2X7EniJuvafod7ArsaR91rYHjTHVy5eLMoC0TIjLDRYa/
xk/b67oYiUwaF5NG1hMn3nkog2YxpTQiSrUhl6M95YPdXIPbik5Icqa911jFsUFmtLVEP95lcPTu
mmz2brk79hZFDAhrG17v4E3NV12TJBL7VDupqvQnhKv1AzF/3JmG/fbgLXgNX8ElEn0VnntEIh6I
WtcvCn/cJ7PlR7TZdvceBo3zaIqdI5496+MAY/Q+61V1PtV1eF6WFDMb4nadbOWUuHdW3jCbSJAL
ue1kVKxVNdpbiKj5jfQS3C5QrsEg1O1XJ+If4xyBIJHw9B4PsEMxmzhDQ4QYyzkwer330qE41gE3
V/tSEWyUAXjrBAJvkq7IFZGYUulcwP/1YY/uDSvKb2IkfLBWk+aS0Iwl9Cken3OTMKUKoy29M9Nk
07Dqx3RqxjvGHfNF2Iz8VSLRe0lq5Mqa+MahMuRllC+L3WjcKyM2RySdfBfPycJVHyblesROVK7G
pBqfCTfQe/KGnavY4U5EiMdWTiX1poT+V8InGriuOfQwvwjdNXFSGazdCQIY1qoouvHMqPnK8Hm+
qFSiP9m8SPeAcTEhtk2+A6XafzMzz/pISJ7akJQDas7g2nYx95HwZS718ogWFUg6TdTlbsbnFMN2
5E44Hh4Sktb1CxFV8qGI/ehUdPmDMroBDnxbXsXBC9xE6FmpUXoJB+TSJoXYfQQ20CwhncNdbPNs
YrnK072NK3LjOMWjE/kj6FdfEqXg8lAuRKsp4UZhqO53UePIKwnf+SrslXs16Mj6WKWdfBhcr37E
tMbT6mOPb+2ofhQ4Sc4yeAy3U7Dwm40MbFZQqfophiyFzE9oA0dGmG9ev1yQsAi6ujNuJi2rfjOl
2XxBl7a7lxzDb3TdWyCtOVKA7LVwmRdZufaUmR762vbxIUdTusclTbZD4ZncpjIf/IVB3ny2Uoy+
EAN8fCO2aC57D2O3fU/z1cq9h7GuVP81bQfnIcWRlceHUcyVg8xyNqotQjs1XOhGRe5JxWJwbvBk
4851Jv3JAgqwrr0hqVaWOyEbbGZvx3PoQrykKQ88eurZmobqcqjBPOMMDE+OkX/ozc64rs3ixnCH
S6eU5Q7vmHs9w7xbuT7o3taNQQBHl/AuoYbT4zvE9pwcSzv/1DG43JLaNmwHR39JA4Dyzjh8yxO7
PBpV/JWEieSYzMyDKmuQ5zUxcdvCHSfIuHH/zcJvuo3T7mzqm2iH2tjCrZ+HGwts87rw3RgRQ5xe
OjP8dJC4o1632Ii9LDgZuWw2adFU80qGUXNEd4NK2ZjAmZp4I8o0pydZFsVLLGfQ4/QQQS93jl6T
V32jKz/d2qURnmXQOy5o0SscayxYLN/WWarRqQ9hEJOXwo20rdE8mhCYD6WPsVj2ItjWyrDX0GNZ
ltWCODERKtpGaZ4pNw0PQ2zdijIKdzRXunOrCkWxtbn2XzuplLd2OZaiXCRWNeLg0Y8HrLwEaVgK
3n4ETrMDtFrZ5oCGM7TokoaEcLuR12x01H0VtRr2sRvzzuMFHuxwko6rxEbYmVVec8N41sLSmnc7
VFsJUXG5ATYumB4DEllWSuTTWTUt1qIizx9wKdX+2ps8vYf1DiaUiXawIS8DdcnoCCpEwSzIsqHO
Dq7wj/QZbXOj2USAIeTS7laSdXXhFJ08A4sP98I27SOaiW4jkoRV1W3h4jWriobLChiwe5JeO32a
lSApb2EXMIQ6qGIjRqOG4+vNT7IwXbpt5fxRZrLGjt+Fh2l2w2M5RPpDmot5M0ZDc8pL6aw9u8Dt
5eXjqlAEJnaOcK79jhZzHS2qg7jFCW3KYNcYIzOWJXFAuYIc5FBkn30vxiZvakX4rcaVGY7Gjsza
GqFseV1YBu9y4FDHNBWTWKGc3MRGHN5B2bH2RcoT74k6OQbjRJSfipyLms4f7Gtl3JAVEVxazaxP
S8ZXQchBCOek8dry2YmbS+wH/nk4oXtfO0pB7C3QjSHSSfIL2c3WUTJtaUhW9tqzYo7Ew5D52ln5
rkKeaxOifpZooOzrzMrMZ4mTsCDWufKmjZmZ43FumnAtS6PdD1bhPqhiSMk7yNPs3Onj7mspMo8E
gc4ZmcBZFeGdD3gBTRxTeYeFtq5QoRhTle/8xB2/1JlVr/tCLXWBbK6x3BUbxPpVvYXPkZ6R04tu
F2dy5vP4lckR/Xx7HjZd7aCwpXFI/KubYlAmfHqdpbV7pe0oPcxJJb/YErQhiHidL/cGbt9SImWZ
4D20hExkbledhzZZCEEl+28BDHjJrIQj9M7MO144qH/1C+doaJHaiG4kUwfWAOkZ535kymgTuwst
MElLGNvSvZrBT9wYtZR83VQku4E8RCzGTILWJUVeQp72JL9McmC6lSC2wPTP2xlZNKmvr8VXk9rW
R8zi3TcJwCvY2G7C97PKpZs0aW1vKUO924kMxw7rfdMAthidfJMldnGkcV+dF5AfDo7ZESVSKzbj
NouzVSmhXm8St+PlHpa1cVPF4XCX2iK+iksqjcr15GU8v/4WYfNZEDSbrqKmWTZlcileethhZCL4
lCdh01gf2Aarb0J6nIIN4oh4axPR4sVsRKuy5ddZmBP7xDKGuySFSbmyGiOoQCS3eh+Xnj4zR2JA
kmFUm3jxg9YUWw/oTMt1p5fyF/fQg99PBTgSvgKNHYRX5aRfMBqk+2mOalJN0hBerYJoo93IJOtA
igLTWNi8o3agh/XTIQJTQ7DoDaHLLEO7H7s77mAgpdSYUyZMt2vyV2W2bcpQ72pSHzYyRREbJsJ/
IbxoPAArineGZT8hjr+HiSIY8vGaMlwVbwYU0RdjazsPowRokM4iPzPNUjzaaOwmLDyyGs9gBwSQ
a618QxYmbB24r/uSW3iIQyBXppVg1p1K6oSiDM95cUP9nYQ+QzegSBREN1svd9YGGnYzxq13awCa
JKMmNjHyVY5DwnfHs40Tj3pD1aTYDTw4gEmplTikUA/GOX9oJkqxWrVwgPAWLzXSVM3NdYVelnuJ
vXnjwEX6TJY6WaFElN86IHS39hTJyxxpw3k2QCMeSa3BjpyMdzGZWKjbXbt4bAWRO6e+mH3CTCMV
c5FS8hSMqeunrRvnibkepIgKfPMiG0BFAFQzOmfDF6rsuzoClNU1AkSD781FfCSUNt1E8/IvIgqp
aGNicPXWUYrQbkSPFNhnTJY6XNtikuyC1FKtmWQVqP+EbxxXIXHQPPywpyZKKH8CO2RoiiuOMSZu
MgrALnC6exPkwxpvv7vuXDJT1mUImXZqKZiDxJFfdDbkuzbt0/0w8lYzczUfwLBRyCWVN9z1afHo
t9Tt5MHIh0AVIt20eompWK5duFjIT/PMxWexGzf46cXRYsFe52JM9xE6umpN1HRx7AkpeJoIbXly
tMU72S5se1VN3E/RB+0HTgDBuW5MoBmKw5ZXVN19RajMPcmu4mhOff3YLzV1lYTFOiGeQq2duZiA
cxdq2FlzXB4h4FAtVr5Y8c7yr0vRDnemRRIQKNv6ye1aMMEOla20OLVs2mpm5fW11d3bGQf5pink
JZRrLPCRM9VPfVQFGxH0VKSR42Bkrt2ZNdKRDGABn+A/9ubcfK2riatSzmTvUJWv3NSZD8wvm1Mj
G7ohNoOM1RQuW1dSAtJytc/Bu7Sbz0hQg3NLcbwF0haex5ZsT6n2q3Mv5sIx69H7yrTddR1U4x0j
KI5VSqf7YDl5MyGSl2XOudxPOZ4wDJpfAlbpvE2DWT7kXvlhnHz5BWw3xxzTjQn2dMCIqITJoMNf
WhlLwbL81pOzRKAECHfadc285VwLRWDjslQnTrK8SHK1AfovH91mAvXYlhkYBWYl22FMOZEuh4Z0
Mjk4JZPTXJtVy52pM14Br3ugrOIKZ2xsa3KhIdIuxQbnaQEagIYW367w9dkcQ9qdRroar48h7mQ2
8LiC+jYNhr5wYk6aotPN9etJuxI8PniAirUHvYdYHU4fAHvSQ+HwIiuYL50PEeHCr8cyIza4DMhh
/TWNHi790kCZU+hlueQgrpLkpQ2IiJlZbtV60jEvAbVgE4OYroEpp/ymkUhPYHrn4YK5c1EQgvxu
Bsg+MIW4xbEyC9KU+EbMS20OzzNLkGE2rY+IeC6O1CZZPQP8fNKOOUbSMFHbCk7fGgc06L8cdBkv
GrOl4cAwi147nRjASc3nWTg0KNxeNV+xaJNoZfb6UwVyZBXZbXE0lkMtTiK2NU5SAMWXE/JCll8F
HRi9dTWn/E2lzSG7mdnihMXHv56bfUhhF1NOz6yqE4c8IOPZNOelTPENbl9R8pJqOoQtfz6aJFHs
pMORvKqt6Ma0iupc1na+wRoQnAd913yuLXoXUOPpZSCbrM4VUv6r0aHCBcrcs7kbdvcNr1D9OMVt
sGnNJjxXPvtsrRIuYeKS7GfCbwSnkA8WPqWSI7RHWdSDpj5fnuemXbZhDCMdcXMFnaAw9ak18pYf
D/tGn6XIGD4mS7dRNdnyFqAwfrQCHglnHrpvQwO/OrGi+Mont21ntcvzAzQGCgz9n8Lj60RL1+G1
rAhCOlNQdvKbUo2c3knz2XjIcD6+vhusntbbEMTJlc+Wz3mf5tVouM6VHxsurwoVBudNyBVudG5/
VC2Y5rCEL+eR0nd0OIasEy+zPkoPLlQ6cCOxPhPdUpjVOXzP6ty1KR7K5R4k1EsPHWIzuWvnmqJI
WexmxK3caUV5InP6ImZd2B9JwGOzZR/7DBVMPmBdgG7OYGf92ooZe5pFAWitU1wlCsg3jYyO3USu
KS/z3ZIXuGvqCa5sT5FZsrDheQi6T3XBotDmWD+SI05jUNGrE2lEidZTsAjM5hubpt6Wlz0Pz+s2
O/lcDU7sxKPVTnzPaUoTuWOXSx1HUtxpasX0oeWw/En6VEvGrDgqjt3IxTTZ3pKRdZST5HJveqOk
thY8a4YZ3UyKPoVdTGV6rBy3OSlZ0LxZtkqMMva2zUV+BUEV6KqXunQb4CqKJuT9kHBUZU22dAUR
wy/hMBYOj8Yfnv0l8qvnVyeYKmfhpiHFH9B1+QVMFyVH083FMatYZKlMkyvgio/j6HLVyIUURztI
WCpjzjXoC5MqdFTNZ6qSzFkNE4z0FZSWkLplcNNLcOxssooshru6jsQ61KPejAM3XAf4FnKbVubr
P74uTF1mvGIMopK+uop3quSlcqzmfvoAEVTvyiRLSYWoWdCp05xi32WTYcYTX2FmYbQ9u+l8Ib2Z
Slj5Gjhv/jI4c+0RUMHB4bVB55PA40AXvVFLFaCnhlKYbK9hzwGOb6zIOcxgegTOA3EbCbAUOuA9
B9nt4EIpX+VEmZz6qH9PX2a9lTksOgosVJjgsEAChl5GDd9JEoda1CUk8v7gpDSH17jU3Svf6+1t
3IMn1A5bWxJSfPexOX3wY5x5WefCoqI4iKOKs0slmlMnRn1WKdl8HgbHuQIcOn1iS5jfGeb9NMpe
ftnFro8sFAH/T6AJBny5PxqiOxjpElTWkbOgJWcx08qSK2PgYEK3gkLUGjkUwZOktKKVsWRl1U+Z
pLX6erN/PzV4Hdn/OBsRSOccJEDIgYjOflPvx5Bl7DAFCVGWgrwgZK0LNmVozmdljPu2HZINp/d5
q5lFUugMNNkyyd31k+UkhyngJlM8VLhu2Q0it/4m08K/DrwYHk4Pqzcy2rpZNb37roD/55OKBf57
ufs+EuKfLCutTdBQHBv9ITbs5hShNlk691SPTda0wEOXSYRogs3InvjYad4ilao4Fw69+9fs5W+N
Kv+JIeQ/N8383zSqhJrC+P//Paq8fFb/dvE8pV/rH4aVf/7YX8NKgGd/INtn5ojLAVXUd8NKywxB
xwummAwq0TC4rO9/TCt9foh1D8MQQavP1O2/ePPC+gN3HmsN+aG/WB6DvzOtdN9MD5lR8vFugJsY
z1L4k8+a2qCAP1Fl562NzfYJyzNlYeX4vbM1k9CowpVQoMc0EuO6K41jbdMaaUFe+9WhVil0DKPT
31oRD+XaMCXDg0yP89lUef5z0xb+JgV90c4N1qvYyzuP0YvSzq3BsCsAaDkOti27bwUFGg+4pqHu
bvOFAhhemakBKX2sh9EC0en19H1umazAXPbU2JsPBZV5CqzJMewBVlxtVuUpDQxgzoEPXm+kaw/x
Omb4AgXLG6tGBrcJE7lagZ5EAMGQqnRAEaxIwSsBpbKJWNsgY+Bv3qeN37P/V3IMIEN1Jvbzs5T2
+7CdzeZrYgBd9BupP3AMrvz1rFXGj+JBmR8ZXfnpn9nU/38BvqsVAAb6uwV48dR1T1+TgcCtvvth
DWKl5if/EfkQ/oGUiYB2LJICMfP3kQ/iDxciCo6bgLk2ybHsw//IfLBfZQEwQAh3QA29oKE6UIfJ
f/y7Y/1hi0XIytbsLSQe72+twTdNKRIGMGTjgLI4IPDbvZEchUJD7ZOGPARp8ZLQ89mDvYtWaYAV
4Lur84sh/s+KG8u32Y3wWzFx/kkhX1QAI5a+xSGwobuCmeRxraeVipJh/fc/ic9gz8NvA8ln+U2+
K13i3ojmVpJs2qt8IErGvOrGMkMbPt/97Q/i9QjWZhErmXzWjx80otsJ63YmQpXCLi/yl8hIXzL+
/1/5GBdJPCL8n9UH8CPgULiT5I2vwm0YMN0nOKxY51P6L1w6nlUUSjj00bC8NQ7F0iwdyKuSfI6y
PZ/ItoUib9MMqLJ3vhTvF/l9dcSDF3gM8NB/C6JG3irA/ZE44j5U8pAoMqa8Qd/oeLoD2nsnR9KP
fn8F3xazrx8msMWCcqA8XF523z8RRNTVrM1aHuj102XnTHHISDVb1Ub6ZAa0i1Oo4itLs7///oN/
8dDji1pgRK8Sy7fLy2tr2qKMDw4UdvXtAPlv5YZwuGHoiHfW15uXKZsEF5SCk10BvSqr+sfvOA/Z
oAFkSNzsBIaQKKu3mW1Gt//CF/ruU5bS8bu1tUicRoOp+sEIJ/jw7XQ3lqo6vb4a/2ef9GZnUnmZ
1ChSeECKQW+8KXuaiZ5ev7+8fkZxcXwgoM9CPOW5TAp/KtSRHDicvg89tic4mF29Iq6RMHThfG5I
vAMfIZk+MhrZuUR6rSGQvOPdds2fHxQMuUHAw+mHDmiVN09oHZVuUNayRCJo1xtpjgaR5ZJz5uyU
ehsivdlYYWvtSEJwD2Y71ZusECHnaqc6oY3CkabohZGsAdaoZRj/9XWU5GeROC5JPLvBz1802Kxj
PFvjhfRJJCYkl5LIDjlE1JI/opOo3NJytpHIgOT1p6a81m1o3+e+XR/dKIsex5LDsion9xD51De1
JqBLZSyp3J8I9+j0gMiFUxVHg4Y+R9/jqx/yotqiXK1uoVk7J5C76msT8aKxeo/fHS7wtc6c+owk
5DFbJ36Q1FvtFOaXDJY4bmF+HwNN5VMZ8aVzUnF3dRjLK4b59aantESbLqIoW1lDEYIyFD0JodDG
d43JRDxrmKoZrTTWpcm3m0v2ThKw+zUzMhsRFftbEqdgoGG/ghmfrB2K95rsWVxeJ6ekpYEbtT6z
TJJIg5LDWRCWxtovMKvEyeieTbGVPcZBXdx5iulG0wn50HilfR/x3eXKV/TpZekMM7/TGAGx8GXY
r4XQbDeT59BbNegr3nWKsAUaQOU16Wv9Y8SlATLdyCtvyF5Mi3s6AFu9L4P0ZepUdNt7c31Uy+6c
dF19potlztjS+uDxDcMiIU/Dm26AWjlHXir9GnlYuh/jQqyoRNIlIGOoiCqD/bVyBrQKsZAhWY1x
9eIR5HNJIDgXcSjwO9mGYmL3uvKKjngT8jSCc+LIq22echEw1pHN4hAvWjYy/hjMsIdBEqb5YwgJ
nWxSRRqym2TIfGCez2DwW6/YpygF5IXFjCPceEk0fk4iaYRbRAtdACqJEPiVR/f6HHbkfB9AGf3I
hLd8sX2S3PmOGtUomzeiwebgkAV5V7O4PwrymLI1wFNyKlskcjmW7GSEUz0x4GphImD7srkFfTTl
RInbMq5X4LsNDMdeeNc1LcvOIclwPTq8ZWcQ73Te5AIDBkub3GHOj8f9EFTZU4g7YRdWrCNgWOj6
0nAs9t0YTfRwwvHz3M75Hnpaj3vRaO10l0nhztsZAV+zartYDSvCOa0vsDC6b/bM2nIMhv+bQrnd
p9Hv5UOckQTo64JtnKGMixDcECeOcilCAEXat5VzJ9wkzh+b2K5OUwTInPm1vSae9YVmWIh2zxMn
fhHyQ6FIbwzd0RtLkDBdEvSAUCQuFuo3d2gQvH0HcM3rJOAcT2pWdJuNLSjwRE7JcyVD91DlHrMd
LyHx1LGGz7LT4x5bI/z8cOBBmFVQwdlNCR3FeNcYoMY7q9hD8X/uh9bfJN10S9w8EqPxy5Do9FRW
HiOLiLRa3sb+dTKwKBGcTFva2ePF2LfhNs5Z5/jRo5Ut/fw+IMDxDNDsjujugg7iJPt1qfIuh1uf
pSvRFzzU7IrTh6RAWFYNWXglqGsZ1bPq86GgxTfKiJkl6U5zy+5GKu+4t5ZXv3T43naZPaWdEVwF
mNGfiomMCDH2Fr4TRWfbicRpGniiAI5Fj0OIfMosdL0ZccNu3W5mGZXEzgJwGEA5Gi1xq8DAjXVC
pNS15bUNw83iyXXZKNuW/YM0DP96TgkLsdtWbyK/YTDjiiG4BvbfMokC4gkklceQ6OqG+PJy2GQ6
YxOzh3rjKT66ZUh0SOEXI/Wx1NcEu6GsigrkeAckHT7Stk2LKyEBtSdKBNyEUl51zVLa13Z9VliS
h4ku6EDYo+XggeTqpFFIX9uj6f+66yJUfejzwHo2FbvVuDwjrjlbl3nUp5eZO8W7UePX8xXFzMow
epcEKnfXMc9Yg6e2166Y2RH7elqPs1d/QlIYXs1+VG0m02/XvHAVVJqenbsw2xa+i1d9HGUcEZZY
VadoHsrrbmDvMWJ2DxWy6POx5JqH9bATGdbMuBrTSxHZ5pfQGvoz2v6UxPVwFeRdceg8c9xnCQal
MoyNi75Nr0Qqxs9GlnVXekr6iyib74lRUEjYkKIGGvyVM1vuYQ7TmdFmU16Bk40+FPmD34DlR4Tx
UscLu7JPP7Ge79rRJJkaYhFhSiVx5KbA8KvRQfFajPds7l8Mtx5Wts9Lb3GzHI00Ke4A4lentmLH
McsA0aJpEbw6c0vln5ssySgYf7gHO45/JIB75Ivx3q7WcC2n4YDTyWn3DF5XNmNBteq7MCODuyjY
zDLOmQ2PSBaWaxS6+bFSjUkmNYJaHNQgYTd6bGg5FFKkJWKIpjeRaKlmyaGxP3WlXZ5UI8pT7fem
ZNaJZEkU3bAZLJxWBSOZCXrImVY2gbK8fIqW/a/0VXTTMFkFMJBnREw46VgmJ5WFgpgLgpHG4IS0
rq5WkTcIX6w5DmBrWc0gC186nSUEC415+SxdxHZWGvtHGigSwbEO22Vq4JoMvyb2dR0spgniivr+
A+0d0gkyhzAQpupxhh0paR1akoM10jCxuscgN3NUhVNxqzIxoSm2PIYe1PcInqSvx1NVZPmGlN0v
TjAcZJYhItKCyaKL0cT2WF9sHOO162bGhSUqA0GqX4JldWy9Z53aYlVnKEaGIugPdgP+Zmqipzxx
c4L57JwIJpQN5PaQyNvb0+XAO5o5dUzMXuXYg7EOCzFfslzjr3Hho/rKrc5gHDqFVLeGcUwn1wx2
flyyvzke27cTU51wYHPUSoHvdjeSL3zImc6jG9Du+I7c/mcf0lIQA6Z2sV9DlHp7CpSA9iA0D/kh
KUvnNIxd+VILOPQr1Sv6UUTBUloVROTimcms/nL0qCysHMe7tCirEM4+8eKqToFNk1jbHHW6VCII
L/TgnjnkYZxXbdYyS+zCbU+Kt1z1NLgP8YKgE+Sz1VvHL6NbwKTOk/AwM61C/mcfGJZ/jVqW7TbS
E9iANM0eX/fAqgJbvFZzbr9nSPvZu7OYDwJOVKHLfAHI248Hnm4m1G3ozOLAxIi911bjBehQkqWD
lprpP9k7s+W4jSwNv8q8ABxAYr9F7cVFJEVSyw2CtmTsSya2BJ5+PpTsaIn0SOG57uiwQ26bRBWQ
yDznP/9Cglt2OyOyhQK8UGMVIZGHbH7uVW9XsPWs8Fd9M3qVH/vmb2KI1YkTH7g3bmJ+QnAa/jvl
UVXW82Ay2ys4XyY/e6nL4SGeOfJ/3oe9adRZDNizcCUwX2CnV90RzDu3ShjxkZtOQVqTMcZhTWlS
12lzZThkiPz8em8FzesFfXdVQ2JE88aepVYUe45XYGQVEO0WsWM226yrR4InWVg9nrS7omOteW4w
3V2O4Il0Je+Qisnaw382NuRiui+E5YwHTTbZv+2zsW1GFwvjnDeE+/LqfuDyMHnITrNjSL99cI2k
uWqd6Vfv4BvEgqsAVGDNiOMqJgiv+sEhG8bYq5vs6DlUrh6WW/iqef1GMpshTKUgeWjOqdyhQowf
f/4AxIoU/ADNhNQHzK6C1SLnrXXtbBXOqMoJ4Xg3JTFcDkiKRhyHn6uBurRrJnd+Fxpu+Fw783MR
zvJPo3WnXT+PpEz2TZ1m62an+kiWQ2AzMGyp5ZxCHSl+YQXB2fwi4zXz3ojx3PmGuPwXr/4VXs2E
gL3pJwOjhhic/9m8qKbM6pcfAOtvP/ofhRtm/R4mRSuaJC6Tob8UboHD+AewDnjJWSE7m1X799DI
+w3gxMLwGNkubqYeC/YvwNq2f+M/xYiIs90lp9j9VxI3/w1UAuYtbAA1TLtArCkaftyR/QJgQpVd
Dl0EkxW2WIhtW4JKVgYEDqqaIwUNEkRpP/VOscCa/1QLqAPMsEl+32AmmOu9veiq2DUuYUxHgyxb
TITI/qpMIors7kuFDdw1xAGcGlFM3OJ8CZjhDBamGwKGadl69mkkRhTCMCc26Vnl2uwukE1CKJCf
6pX40ZoLRq5jztFHQAtsLkKSnBc4WdZtBYiAjU6deF40AK+2BwEZSsG1MdYfsWPO9SLP5jsh+/B5
sDGyiqbWpLVmdK0fECyHz1Vm6W8Uv7iAoBLZpPoQ5CHqojk3hM8FZy/0uy9dYFqP5arIiKy0pnWs
kzKj5yFkk4LSHjbF2s4gR3AUWJBI1NG0bOtxndu9+IKGqmmM4WiPqQ0FPiBI0qbv6Gyz6SKv6qzb
REi+f+sn8XPuoRLeSI5z5ulh3nWHFiPiLxCtuAO104jHDGuGT3YsV46orfjPCBVorqrGdV/mZC0D
hoQP4FqogfCS5GqmnUD0idOm2gw2MHjkhZpv7RRcMyjAWkpkXnFESUSNMEymfetBPLuqUz+9tVER
XAdjbEXQ3PRNTjrZySb55lRnFBcRuQXcT6JvgPwIuDW8Leua/+fbAy3NpFDbhI7oWRBZXRIGPOg7
HmnXfaQ8nPX11K49uy4E3YnZlUV2b1SCr9DQp1Fkjil/DzqspDduOXBfpnzV9qXw2WC1zQ4UHoxi
krVBqtzx2IJ2mh+Uhx5gX1aL0UTjtPyZxgN3whzr8Blq5UO/dO5+htHobMo4i58X0eX3iB5CB9ap
NDatVYnHGs+qTzqd1lVbsdALTcrtfm4TftMSC/4Ov4DPlq6LiKaFltmb+Ge/H1kNQiEeikK7R+YT
zq59YigxODel7/dy0yYdi88A0N7GI6NYWj+o7jgbTsnO7AldJEKYl9APNQ+4aZFCR0GYrGPXvK3n
c52HRbYpwrKsdthZsN4sXsvrpsVlElMqkEoDZp29mZFaaMJAB2CgqgBVsc2VuFhPFSsmtiCQaTKV
kl29GDy7cV0ncwjzc1gfEY4u9qlyB4igVscv66WZHThnw53vwMuaxzHctQ6onGrz+PmyhDPD5/6S
injVrC97vi7S2BtBc+yBW3JJqtWYct1VYDUQpHPUBqs35jOjcm5cD2Pc3rRlwIIZfJPeul5J75dX
AqA8Q6eHbBUR1cDDNtk4qB3kp8Wn55VuC5PfG0CvnKmJmQqA+0ZtR98a5RJsolQ+LycqNQApERD0
l7rTGE1ZxdcxAfeyDv/xSBL/w/sAbXAkSJCXvCtG7g8mcNbjKCATz7TtZHuhSz4BoUH3g/53vciV
EYmVBb+haa2cgDsydoLN4HepfZfLMfFBTruZ/RTvjq1Ztv7RA17bmyU8QBioxtaGEqVImS34vjZe
ftN+AQJOdyEvBciNglgZLTY7ViUgFz4QFNveJPkQ7rIZKNWeeZcvnXFQF8B/kEf5PTQ8zqkoGAHl
MCkfTRN1XA+axh2sHP3QstCzSKSF/FSg6TmGMB0PcZ+KR99mzVM2TjFKMFDb9x31lQNtFRa0vfCF
icVjRRHjxIOCQ2c9xuaytOek8V29s+uqTM9VDJ8rRwd6GBxBRtY48ZTKLCZyjnBStcPKhzWFopUF
PntwsTaqo9Q08YTJNrqGzSYHTItzd57mLS23DecTjUqxt7o+3F34yRMuKV5UoVa9zZrQeqwqi8+T
VyAfuzFcV45voQY+O7ni14sk7r4kBX1Rlrqs7gthbl17KnOt/MrBJ+Q4MAuS+8uad4TDD5k933kj
5Lr+BzyYbodsDJ/hYDAgQIrHJcbJkv09c4NC701wrxJcErf+MrXX9RjOwLCtDMJnw154kN+2tLyz
smrbAmkLYINADac86CT1OXip2rWWYd05Hm8XEpsw3wwTt5fM4v3ljavGwHme6l4jMZSuSveXnbVp
Usr2CXXhs5XZdf1MhONcfHBRfGWb0ll3KWuEGOukvfsSlsBhcD6reysdBJzg+kud6vCkSP1h8Uuq
9Yi4PHZgRFPW7bS4bGQl9cNAbj3O7ZFO09qCOjin85Htx4bZDrBOCRElDWRaKKFLeFXVXU8r56Pp
5ZZkYXm/5OXX3IR5haFybyTPHKX0PqS+8oiIcF6iYtDstbyTapuyxQAqT8LNN7ZU3pemrp6bxFLn
MMbpdYrmYNLUIbZ6hDd2asL1IOq8unzMMGW64owJ7qya3ETe3dHeMy3MImnRYGMv3VzhnZBsRriu
T5kv8eKe6/izhJBniEZed/SvGwU13vRz3oFoqKzKmAgKmk9dOrRXfh6qKr4zU6eBiUbqohz2WC3L
veH54R2M4iiv/IdYOK75YfbK1uCcaCovhn7eVOyqK8qKhwwgizkI5lNtBd1ULPVmTcqhIZFOvoGI
XB0tS0IOzpw22BhOYe+LWhDk5yNBMQc9nd08LYqN4U8I2ETdpvN+9ubSP4YsS8zlusEFNvLTkP7Z
Wd4FuvfPSAk45oAPj5k22h6+ufWEaLe5MUyvfpctRXD2RczqteDVe2nQ7BJEM+DBrRZRXvjDldKj
eeOjxACIIAT4hY4mhy5fPTm5L8trctGde1kwqzJ6JjGQlFW4D0Z7BKFSZKsHPYqCCfHpstJbpetn
20DNaj8beXg0RzluZ91XuyoAMYfanq+AepffBCrN5xvul/cl74N6T85PzDlOTEeSTU940LX7IvMV
EUPTZ4YHGzfL/d8TqeeH1J3rrVVKsbdBnCPRu+q+M7mtXlh7O1dX+o98gGmc+/TiU9fdBFm63Fe4
aJMWPVQIigznECPIv27DzNklsnuU4YCoUnlURruuks1Nv8RsUUVFfTIhMEioG85DhZZVdMo4uoS+
nYpwcK4bezE33LR6B78WFbJHJqeWMkCcyAQwZ8eKWCHFHeYLWxybzsZSWO84BGZKvrGG0Gx4p1LZ
833S2Bu7tuujgMF0CNYTwp7bcavRGR3dggfWZbPxqYu13OatCm+W3L0nxFZse+CdB0YbwXWDr9eT
gHp7jYENsVMGYCHxh9Suv/cjXhTbWIjl3GsiY/Osb+BTNuRUVQODPNa3KB6FigOE/bZxa3oSiZBn
+dsicBiPuvM+J4ETYNP3X4yi+qgNWSCY89Frjkp1e8Nn2USzj5AMI5zhQPBpunGZ6QDnZcl2cUsO
IhxWTmPtfmlT7ItEb00bqzVXBUNtneZc2S+xMtEAQ53XH6mId1TXikowM+vtDGa566XjPYK0Wrfs
/Io0kcZiRJgJ/2h22j5UKZOMTsw4ak6lNV2ng4GXZ2sz7xjYSALFvetd82GcipL8ULdUM7W4XHT+
QBYbaQtWXjnl0V+6MfnC5p/s01zILfHS7TY2xhqJAGJPFZEkGx/gnRhsTDhuY7E5TM8GOkaIqV4s
PLjyVrpVbU8HksodJLvmBl/nDJS8n55bXKVOmILAv8fnc0/S1bIbUvIrw9zP9ihgzacp0QFLnCmS
Y5wzdy382EiJPfwDmmxyncjqNh377oORhsNVpQIS2Otuw+EVv68GYX4Mp85T0UDv0p8LKefsQ+e1
g3mqCi/sz4a0FjEc2bXCPfSTQU673DKonBIat/hdDO+EanYkcEW7WRN8ipGjqSO+A1M7s33PZsg4
xlKLffDzvFncjSgdw2SmY5hTsklcc7A/BWnFqSuGfPY2wUWtBxTuVlfSRFGxLxpKrq3pVn3A6hGh
2rkDNWiqMBimku3WCSdq5YGYHjSBZ9Na9MMMfkU8AJoqxqaU5YTwtr/Aruy1N/4e2oG7CdUMjjR0
afyuXsNK/mi2DAJkemy9hAMzgbteDsgkJuVrNmm7q9+3aRk4p7nhFN1qeJfFGfHI+DA4Y9hF8OyZ
XJgzxbtzOaatnqrayKjpsA6kmoDvTAkQw9SI1Np61iGDgq1RxTRvha80NgDgFF++1chZNemHYVmb
knpu9UMaZ4DMY05o+HqsvGQ1ngNkkAYFYnKfWIFvWNH/GRr4BtwNsZny+Qt7bdP0rdemgWOYZIZN
YtKxZkLOOHPWQ4cipGg5/WGKSDA3Et893cmXCqXig+xpumVKU5o1Wj1UtfzVJ/qnB2Tajo0DJ65A
nCc/ghuGK41l4ADEPhIqQOQZzPHxbGBADVbRRQRic7MmgYRnZYudLlwp3CBUecBTlyK069q1maBC
/w4ruvu2RL634HmNRwK6MF8Ab8Y+3geAWf/9d7yfIY3LrO2z/Bg3IQ+0ahpbf1hWOc9HZ14WuXcI
xlXbpnbLwoumVc/08w/wD88KKr3l8EGYfPEpXpHt0MuRNiz65OhqbA6iuEbitB1CKyaEFkZvQpsS
t4fMztLkqm9JtIW328W3Sd1bj4E5WLdOU9CP/PxT/cNtwfnadk0aPu+t62SNl06T5g4p5cY67MQ/
I9mt05OQWp4pcZ8JauahWiirjTFpP/386pfX9cfXGeE/pCH+onmDC/rjU6mR/JF4h7WFO5c00bkl
55ZaRQZVzgNJZxftlT0F9mPhx8bJWhs3wmqc/Gp0ZCveOR5h7gsRsH2SHvsVe2kldGwG+S7db72q
sH/+gcXr6QX7D7ICItHADZw10PXHD4ySW2bz6BsHO0UaQw75UqfnYFhbnVqzXbDxh9ezCEbjfS0W
wBNdpewDczYs73XosT0ltkV34i4XKpjDH9md+Lv2yznZXeAhW7TrO0K6qb4eJugtxyYBAcMtqh2T
XTLCjlvmiqu7ogC88Yp55MWiIfhy+bL/RaJ/hURb1qoW+r+RaMQa2Pm/1D9g0N9+6C8MOhC/oUtg
3PS3OIFt8C8MOjR/c7CNonWHxgnT2sMs7G/SdPAbOyE+XbwQpApcTrf/kKYRGAAWs+7QMsHk/zek
6dfhEXAsybR1sEHAz89xzNdGhWAfeL+UnXVV0zmxdsekyvRRufDF0IPXuAw36Uyae15QdsB8IPIH
/X3aoisNW4DVbKyFhSkJgRgaq2pvIW3r24v5DU/FFYElLOsOS7Hv7vQ/7OOvpnkCaAJG9GppygjL
ZYD14wsYdMNU4l6rruiG9MMFEnbX04KX0kQbtwJJP78gM0l+5XebFJck+GsdV8IwB3N+HRljZKXd
GkOTXHkeaF/vG/mmHBk6H7CjTyR+WNKQR4u6+BNlWSj1hlLDd46hxwhs7yap1ZxiHyu1aBn9tVLw
Yuh0oveAQ4BybWAVcD9SVMC5hdUvByeumyvQCvAaqH1s+VYRU69IJddmh4hQZJZTzSZorCBfuTCj
FtbivvR1ywmby4BLAeOzV4C+rdwTlxjjaEJrQuvOE4Fj0XfDsMfYeL6ZvUw8KstmEUw2UJCymQID
71LxLSskqgLobBuAXnYn9OfAcnD7ALZTh1P0UklYlsFelPkd361TTBeMFHA+uYCyWmQBmI0r2k+C
mn4BpBAyfafTik90wWeZ96b6SeGOh6+5NJC3iTy1Orw74cbf4njvG3vPn732o0DPmp571bH+ko6t
1RDkjz8sqqaTtEuhP7SBpY3Ptui5c9+QxRn2TgPEglMcZSzZyZvYw5QCCsnIp22Hgk8ncuYmG72s
qL5Bhnq6+gcAcTWqXm1KLlUigZTuS84w8XmYob6Mg+LHkWXDq5GZd4/HOL/a7CQ3KZsdnoLnILr4
mGKQ1h6dxayqHfeRctnNbJ5OZpTgzNpFBfd+Xhoe67hmil6BUwLiLesj8VfwOpRZwfNrAU9CaQDX
Z0A4SGYIFbxJk2m5NwITvyF4kvq4moMEOA9kFmFGaqZ+LXG2og70/MnfNqMod9h6JdvSldZqa6Pn
R9SQ/S1zUCg6VR4DPiy4mb8kee/ezHPiPRujDxA1tuWdbRfJi4Ajd6QwdoJNJmr/pU6K8UNrm4Dd
1sKSTSeUlCPyomCT5iu1oyrjYj4L7YFPkkgOHEfMQH8vsoVphTuCqUSj8llegE+eemf22sW01k2M
mhZikLa1ICMM0sWGPIZQ6Q+Iuzy7zGZc/eecz2Dk/LHK/8TFXj9kFcfvtxFOk7BGOiTEwwa02HrE
opDHUxaG9CIjpvPCNGgBxF/8pv3EneHl8vOal7JoG9DXzjTa7uOlhgjY4tXOWEBvjplohXcokOJe
uRhxtVGsO2hfI133Po+FvoNGL49DunBs2/U6+PCbgavAlQRls3jbwh0uk9wXP1wrk4EhF5OeQqhH
RFuG8WwM/iKve6EMdTdrLI72JcyM6WmpYBM9ZY5ZFQ/xmOO/gtuQhBNr26dlXNkl38oBqEXcS21O
K4YYXsZkGM0c4zIAxnTYVdJzK3Gp3FwWcqENHhyVHu+xN64vRa/QXkd6wnXkr3HXYGDgB20/9T7q
MhjEuzxGuQkaYBXNHxe8OvUCZhhBWXFNo0hyffTjROWflaXwNIncAb8xOw764oNih7BSHNoWV71r
qrr2AqbsRswkoEwMtRMF5twR5jP5uZM+z7wvFcOMfqFOD4ZYFl9RzQkBFXGWQM2VOQrxruL8WSTC
aGxJTnEtggoDnMYzzVMqbHAAIGNAHoNgEBwBFyTyWRLc1vj3fnTHIYbNa733SZgB5aia4Ym5mLFD
XZsCBLV060OSnuwyjLfws7MiqjKsuxkuzu429Sv3CAHQWwM5chB92NSwbPYOPLA6ZxwxxzWbTHNq
mSI9d24rNnZlfjZg/EV9jb69mOs+ylLQ1KNViOT3sov9rxrUAsc2Vb/rS4/ST8l5V5RK35Mhnnx2
7bHeVRxSNCmd/YD8o/5sOWm1F7UJ69BfKjcye1/dhYDQJD8V0JbEUpQ3WZuUTyLv/Cg0u36/GD1M
sFGTdKJw+UD+0L4by6W6diG67QbMMO5pENvPQDLp+9Ep7ybf1PlBATLu5Sx1ZMKAOIxZk71nNlY+
ESPVJXsFyHVNUB404EIu59IIiz12pED1ZHKuXhmQ+LLRbh45dNqPtVu16TZfunofZGbzIfW89daC
n0SB5zLk9vxB37aetqMEQt42if3uz0z5DD7QYR/FmjI2Yfpy6yad72xT061nXKEoB7adEiO83Ko5
BKWcV72F3TA10mKfuNZ9HjftwcQgeqv4jh/xfICEiL2hd6ohZo27ufKHW9k78fuwTb2D0S3F3jXw
jyfUdglwp/a8WyPt5RUb9nwklmE+TYYVnpa+mHZzp9Smx6FnwxQlx9Kj8x7HbFy+mIycrsIgXK5U
rcLyF+KgVz0J9QkiV/53oTfZ0I5+LIlkU9lBXuLIoPsWVl29snsngI/IMWAGM5JrrmLe8uPP66JX
cp3LVVfvaRpHi47otTLIiReg2MkNzxKXg0+YV7IxtP3ayvz8Oq+EJZfr0HMxE6LaA+V41TaPaeMN
XZjEZwe6NHuqqdizV6Mc9zL6/vcXW8VH3E6oIG/aO4t32EgoAs/BOq1hvuMwfUCpdgGIfn6pt4Us
9DC8dqjFTVzbX0u6ZBL6raFN72x7s3Vbr0YZLmM4CKE9oxKQ6F+skn+4ngXjxGKZmCBowatW2woa
Xtuycs+LTuPnb0dQnZqcGG69kusBr7m9P/+Or9AFnh1fbo2ZwPqYh/e6WJ+rxOlD1TtnbGiorr5R
FthQOYFrDbmWYSk/tTGqkT+bUJv1v16k6EFc7jOgNylY5qsv3dSONDWAznkYMnWcJrw2tDX9KkX0
7avAVYDhQCXRYdGZ/PgClrGY6jjrvHOCm8txzkAU/eCXCQv/dBUayoDkYQa/kJV+vIrX20K6Bt/l
ogH0MoQEeOL8P5aJG6JxhQjFw8MZ+8erFBKRUItz4JlxMUPbC947znhS7xAXWrd9q8flFy3d2/2L
PZ09jK8Fbshlf7xknY3xPAH/nI0m9j5auOGg0hkpRQZyfHY1JkQi8rp1kPvz1fl2Z4HShXiTiGXw
0zdvBKmsmbm0rsCIGfg3btgne4+5/ZJj+/TzS/3DV2RxILKlBgc9er1Z+piscqlKYFmzmqRUsIaW
DqFM6aw86LWD0+uq+flF/+n7kZwTAKu5CANXO4bvIc8RIy07DT3rXHpARnWFeK40gxQSx9r8/Pxa
r5E8XvUQdMIl/c0P/eDtm7aqb0z2E0Q7HS43uVW5ZLH5ZvnQjou6bfB2hkM/UybriboOCcjc3TJ6
1PEeJYVDc9GgW8H27AuZNPBRgqVGBhYUXvurENG3GyGuDba/KncF+vPXOGyduRNzOpx8RQV7d5PF
+CLl2uC8JP+VpZaHlPW/uDtv3901AJa60g4xYQ9eqyOTEryEsRNLPDCodXVgr9QVrTHaVCscmLbx
ut7zzLqVQyk/4Q3E9MLOQtD6TsjyIJMBjJoqCfMcLO/Sf304wItmsIJiGizYvDBqv0PHTYmjxBjw
1leM0m5z080/WwmaLTLAayhl0vwVjPNmbXqQkHkbgHJYojB3flybEiYdRf+8MJtZySnYCubRLGuW
qV6J9j+//f90MXCj1UIkZKt5fQog6guJrQzn84UFBf0pvMYekS7HNVtGDj+/2JtHzTcL1vg3015P
vNfBdlVhWG0Xm/PZi1eKWMIYF08QO6VL/PmFxMrc/wGXQpiNbJ8TgS8HqXX9JN89tJKEc+3BZ6GC
UGl3Z9LDDRsj6HrS7QgJ667afAQJcRIHxeOUov+AAmUrWM3rMdhI5lXZSkQ0JpqlTWfh9resrC7T
8ICyQL1sqFIrlWWSBc3xhUfW17juVr/YPN4+nzUhGcEG5xo2BK9LoazGGNyvuu4sFpRME3z5K+wF
s0Niwhv7+U178/J7rsUacCClA+m94eZj9iT6UeO5plYmWyByvj/BoiEkFA03rta/xA/X0+u7p+Rw
rCHa59WHjo4VxuunVC+VbUnlOmdPaucrYbnjWTnQMi+AiOd3oDpyKd2nRmvxiwNAvF4iTJog4Hue
zZVXNQzM5R+WiFMidUNxmZ8t/FeqBcfiAB+ZA9SvwRYbss2C33FYLZzt2HRWdxsmkGNrWzFyED30
HAi1+fxgDhUo4lKseI1U/tpYDIo/X6zLVOV1OdbHVnbn97NR85umzD2GzPkQLBWB3dy7eYfabF1e
pcFhcJh7ZbXnUc3QIYXX6Tt3Wom8XYyM6KoAOELJd2HvBQlipBvXNBjMmVZR3U+gDbfK642DdjLv
rpktYzk0fo3MaOwxJTd9vLKvgaXNetP57hBGqaPa675wsBT3S2JKtw0pVTTQS3bGbNTa4EToDviE
WqnEqn2QmduDfZsj/vT2kq/+HqWVAx4NrVVaXyYVFIDiBsakGxibKxiKM3R6N86aP/uGRNXsNUCU
iEdDkurI/qYrquXCv10k485L8TkWMchLWK51jWx519K6dEnJqDvcwAsrgTYVzUrD9IV8sjIGmb7d
wTQom+sikWN/38HOgb7U+rzdjVW1xUOzrON6NfSW3COGgZZoiuAaenZTPPitBeMUBdACwpu7y1fb
q6HEKmmtUNRU8pjx3OQH+erui4sRFtHdWGygUhG5cz2uLtcgGpiR77OiZ0TutRjDbsFBQK76ZaXA
BdXs2X/xvgcE0WiDJ7s+SZ0PxnvdZFxaFgunVmgiIJNRWtqdeFdPo9s/WJmRdtuC5ZLe0a9iHWrB
UWk3TI+d0ziqzi+2Qz8am6Wt8e70Vk63uySsoLoeaSSEP2X+tQNPejp9YyfD0kNYyUgZTCtoh245
6JIeNkK3BcqYDKZWj1btMnIOMkZoa0CXJ26hb+m7b3UAmD3cUZxEgRpSDz3Imakg3sIxQEggQdsa
/WcI/+gOn2AMDi4QHCRpPoydaqbXuWDkF6dpvOuGbsK04/Jaeat42/TZeyefMJSXmrBoBTgP39LS
Vooeh1MRxmSPxG6jYKp2Bxl4dGZp6fKkRLdi5nbeDb9jkzGNe41E/u7baIZp5Uvs2mshkTjUdkHj
4zdgwdrapAp4PmoJjD5qywSBvxx/vjcAMqZgV/616zOPiAoz0/keZzSzu0JxymtatQaThnJ2uLEO
STz2Pg9Fkt13teSDWCbYyb4tRfdQL5bUnwft2wau8L5bFA9BQzL8jatL69HL89rZDOSwzF8Dg0nG
DucS4dzPVgsKnM7Uxjbv3+RXnMeMAaAOp8AVrBWHaQ4GAU5v+x8ozBnyRq5a2cpRmY0tbLA4RrK2
YQt383OpOtD6GV8rJOP48QZAEuiez5VpaqA2EPI+ACBbhjGfvp34/52T/nJOylvz3fH7No0qq+uv
XdP/KNZBgshP/T0oJXMqWD0aGYeuNjrfObyF/sUnyvSCyywU7OI/g9LwN8KaUHgh9FlbN59D9+9B
qU2IVWgTgQTy4Ib85n81KCWc6cfz2wwtmmDhg2HwAbGMe1Wp2gjUKhJ4zavaNJpUDht4AcYW0+aY
cBBLt7vCsXGvnO2xVXtNqjT5Im1vf9W6xJ65WrKaOdPc3eDj6YRNhHX68kEvpeM8WyHV1XbqrN+T
QCRPlcZYOEs898OIR/QNiRr93ULyXbzPmhyKaoPo/iaZ+Jeb0dNhezCgoh5Vn9eQYzFcxdXkvlS9
/bsxEa9wxTRKE4Diif56zMnfeLKLePCvu0XChxxKbxqQC1f28CW/DG9Fp5mNNSYcN/TbM675S9HN
W1uZNp4m9vAJX4GJWdNAUNNNYWdY5aIq96GA8mzfE8hSeRtb4H2xa9F2PFnpjMCd+deyUVkOvIrJ
HzbOqpHvPWcQp87v04PQ+ZeSunyX+dkaNCUzyFPA+odcZI8zLqx3HgzR/Mh/Yt8QehBX5OrgJdsT
Pa8ihb5011vGiy4cHQVmXk3YdvscFGR/7CStP8J9jFW3AJXS3WF11z1YZunejCHzKKsffOs0hKGk
619CxChV4L9vfTd+VD0EjhNeebaxzbvWLXEJdtiZfRXnH2HUpzsDjtGmQHzMPWjHSA66Rq3UlPB2
fAbhQzVB8Ye8w2x4nqerfugT2MRJm+78zFseZJ04mP/FCdOZwiJopFegRaKfiImclnoLeDRCxI1l
vg/mOD46TSU+touN8ffSGctjWELljPpk8rMjvL6gfM4U6fFPCZnzvrkbOGO1sZsIMUHDtDL8zO6U
Jm5dYR1Tupn1knR4sfLkSity3RLlQudshGyd2wU9/U6bMZwx/EFOYNcPQRp7O+I08CYoVve/zCVA
w2lkBc8s7LH2QNIVlYsB1btzBTkzSzwSRhEgmTL8x0ITtOGKUzKoG3cO8miZFnh6za0jF7nB2PSA
IXZ89ot6X1OZPhlGeq/RDkNf4xMmi4YuPc6fLHNa9owQ4n08zu9B07uTJCBgR1BDfi0rwzy1rlPs
+1iKM76LfVRQzu46A3sHRBfZ2QFK2k9BQ4RGOS8nU/JqCq8UT+EsPtd9QICNlfhRnvYG/gj5uG9q
v+/PZOHlJ6qy3xXVxFllTnIlmUxsl6Uyd1gqHhifbTpEDHtnabk/Buk4qzIukUaIDgbzVvio6Vd3
kR+x5iEThukDVHMTm2lHkSiCcx6ZCcOcXNcQlFf+cHvAXfZ9nxkdrOTMihgzxBtH5dYdnz6/QpiB
YCUG6D9B8Bi+Ylw8b4PU5ubwsh0ldGScMOyoThay3qTEQsF9L+3yoQiy68WKqUsHk4iu5THz+kNj
duHZT6aHLsQJeYGpHJjzLsm5+4mXboLReeqkPAQz6jNSfgguGPRetWW/G2OGaUnsPHt4ZKAOrLqt
VZVfSwfncVFPHuZO6fA+M4hohv+/CXucmDF6ZRPMghunhaqYV5pJEnqQiNhr594kP2lXaQUfPxwn
1lZLYizPwztQ93SblUZ7DFT5x+KTPEmRH549tsvzoJiY6djOb9Owz3EZJguTt8K6T1J5j3RxZwR8
qaWpb3Xg5C/lupsVQ+y3uGF1xlXbCuchE9I7N22fbnhglDS6DT/5Mv1oGh3ljNB/pn1lHRO/o0XJ
JGomEp82LoPLM/ppe9exrd/39oQ5++KFpyJHheCp+9Vlc882EVw1uTH5SJq8/gP7yrAVox+PcJ77
/DYXw7iRfdEfTB7U3mzkwETLTR9srcMbpU3YDUa/dfLqE4kAYsNIDu+Pal+T5RbpvPWjpe4eEGCw
u6Dgxykw35PoYvPxGucldTJSKFJOBxlvMOwJD1neo6UsvL2olvg9JMeb1pBqo60+f4LW8uSSrYGK
anzplvCjlxArRKQX63hoiVYrCTYS076b1Knx8gMaqZi7KJ1bYSXyMAXqj9qd3Z2rlu5o9uKxjf2C
BVwwyYD2PV65cjJvU8t+GML2uuzSZ68QMOgwEDYbZ47YaXeYN31Gjcfo1XE3xbqXtkZwF3T2octy
/aB5dJh9jAlhPd4SfC7ixPpYuoG3VbbPq2Y4dKz+eINBxm6UxZnuuN+7oxRXivSqSI5txtg8bNJN
8b/sndmS3MiVbb8IZXDAATjM2vohEHNERs5JJl9gmcwi5nnG1/dCkFIXKYl9+1q/3GttepBKVcUI
IAD34+fsvfaUqh08kvkQFu2+LeNjH/nJDvh25AWuVjKq1LZsZqk3+y6oBKgVHAtlJ79Kjd8Lz5ym
LtOsy/swW/jwTl3dEPyj4f3riw2haeF7OWJzHIzuPEYVe8KQPgvZo9Mtbtx+ZmONXYBRdfvY0wcF
0pZ97cd876rpc+wk6abnehAOFImHrDXCWUMSBsCErYStbKDgtubLCK2faA+/Ktcdp7CTFVkBlg5z
WjVdYL76RVfiPBRJvtIYzpYblbAy9Vi67gKth8xR1CQ4tOxrJRGC+6mw4rUQotzmXdmdDRyLqDwM
Di+dTgKOqT2H2rBsz+S3FLaLc8G6YDUwXhBr5Ld6UPbjWk6phBkxzXH3kMeaOrhNMh/H3nyWo16+
a3WvBXs/QxuxtfAwNCsTD0C9krIgDIN91tj0rfs10/o7ETqwUuTQPjRWfjfkmsYBUrvPMCHeQo38
1NRmve3wchxJW/ukGuLExyg5YoprNzQu+7VBRMsXlle5H6CmvMWzqDfooOqDOWrGJi76cGdDd18p
VSZelkgutulf3SBoNrmutJsAtdILqLNhhd1NfbM7UtE6xvgrKzTTt0I506MzaAhJOvVqJlbpEZXo
vEChj9aab+seCuj4ibwKHT0FzVMXF8bKNAHAjXJ5ifjBYhyHJqx85t+813y9gBPMJos/yjp5n3TN
eXDdvP9kNv1GZxJ/AY5mAcBhy3ZijLJo9msZciiu5arU6/QE6KMgP6CT1Ah5cCOMdN8mPlYlhOcb
BhzFA+KIihQbFXb3RMqp/ezY1SdtdvdFO41PPXS0rXAjN/IwxkRnAhU/qkR9ZXVOofbZ7pozXPcc
xeJk56aLNxryk4XzdgMIiw2Cw/W6NYhdCC2D9otWxAZKCzPyCsOqzrFo8Ge2zXTO5ODuh0KMhEVV
X9MgE143ppG4K8tePLJANgjGOjNVK7sdwnQn8wBdBep1Nq9Gy18rRpenwJ6sLfbv6EUf8OYA+8FF
C95mMh+z0BTvNFTsdxnlRKbNbeCu/BCvDW3zDX0vzK+A1dA6wWaCkHd0ulnDDwLbxjRufQ4qJu9t
XhMySjzMOqPyAC0W9UHoZb6gL3mq0Uhsk6wPHl2NQlTcUGh5GckqtTsfAKx8MMaydxUA/XXGvAxS
WLCIUwr8V6Plrtgkd/xqOMlkuyICrlynRRETntJ96VsJD2suu1VOBOvaSsFd1X7F/pcUxKbmpB/4
GMjQuaV7E6HBKqxjWED6gN/OvMRhbCITsusd/n51isIMGWHLvClxXGRm4TZFOvxA0rbc6eK9S0MK
JvQQG5xMz3SdshWGLVw00oRpV5brxqphG8U+w9sp3+Az2885z11Wj6iNXUN4hYbfJpL9Gn1RxXIS
WSsElD3ybWCTcxJ+Gdz2bFPgb3XFLSYq6BmoTrGB54syCJv7gLN4HQuFiG6kNETbBqg9QOXsoSk4
FIV8cBGX7IjT+prm3TOqGrI67fm+zTinYCojkAAdJJlm7RogQAhCwKpvNMxyJFxoxgtDt2bVpln2
PLYNDRQiLUhl0STDqZr4pwJtSMhAdWXEBZ21bH4GAYgiCp2WFxV+9JHUYi1GZ4Z0xlM+pvZq0iUZ
qKPyn/G4noGPyUst4SF2Vf6N4pe0ibDZ4EQuvFBLDH7SHqljE27ntMueaxlH6xRc4RbmpbuRkmLH
qJS1woaX3pAfiv8TaOiWiObqYiv/XW/qYO0mI2SYIRnvqwkppNvYwsNvSNUjwPfoZXzJx6m7GHrh
ZUU1eHNTLz0TfbrA0TpqQunQuXCuOX3PAN51hjNT34+C8waBe6+Gmt/wFO0c0XRnjrkTNyNBWTMf
fJX0G1RpWLa/aarCeWU3+lk0cbmvkvquisxTPoYsj2GF5bqPdNyYHG8R05k74mt3RmEJulXxSSG2
oE7QAR+qZyIfCKOP5rfR6b76XfBeFAnPT2Hed+2NU/jPRT+3ZF7kwRdNI3OqI8yEVI3ZC0znDJ7i
sypBx7lusUvYHFckeJLjSlbJSst1cZayvI8HqjOtiXWv7WYS9hISvyC+FQPlmXZHvFyvVkk2zmwJ
sc/lshNUSA/KcDsp1RxqnuAvUx3+aSage0x/mFahiaNwNUgAkITLZK9pEWcFcfQiu7BlSRRzhZlS
4BWgAonqze8HZJX7XhsxMsd2gpFPC2qvNMjb8gqwgK/GIJDp0fzkkFNWz0OH26wnHuxAVZ1AOw3z
nXRzuS2nOTgN2C+3dd49TfWMorpwb13VxXd5pIlvVtR0pzmM7GNpqnpvpFNy7Mhh3Fo4Cp9kDgZM
1cYbZ/j4JsklB/xAv4UH1ROSUgRnk46dBxPEuqFlTFziPI47s4B9GveclnpCd7ctU401uesUADma
r9yU6wDdIFxM5nVR0wZrehsa4y2dbNwOeXEZmxsjTP1bG5nwHk/DO+Gk7iozHES7KXeMovYm79Ic
f9B0sOp+hm7RX5DfUVY0IULUxP0CQSpaV8pB95mFiHJLK6cMquf1kPDHNy7cPd6dAPYFj2tGmqRB
kFk7GgDT6GECsyfwl+rDyXKU2mnWb1murA2r+cRPb+UbYBeg9cpbDlPqoYvxmnIUpuNijvFrn7gu
lbTUkxu2anahgdPCZWrcU97kalUmMRlsvmOtugRmP6iTVSGMCthlo0M5SqN9k0jh1dAZVigJ9VOb
VO2xKcxv1Yx1DBkWdsbwszFHF1zy/mYkbOwurvkZC2xHACaMjUjTwdNQlcFNiNp1gp77NMj4LjIQ
NyZFdhPYzkuh3GZHfV15Y8nj34zjNhf6Lhjod6StxVnGwppM6CJ/FMJNhI/tn3NRoiRsbyb696t6
8ulwm2iCK85Zhpl7GcE/q6ENuTyihQgU8tAWsypbur8PixQ9eFJaFC3TceBN9boliFHvWtZIrIZE
xvbvvRO/E1MCc6O6G1Feg3eYjDVHyBNL9EvpY6eV3bjhqMWTTJffa/sGIpyI9MssOmOn8Ffb7sym
S88X1bZ4gEVyUDHBAb2deFUFZJODzpx/qqRG22QYBrU16DGzdj7AyZm4or7dJPbAyUsNcI45DrYY
H8EkrDo6AmvhR8MxJDBkZcn8PW8L9z4ONH5IZe2qoYIdMJrzM4qKO2d2SR8uhUFamL5tG8tZybqO
bY9CWSNSzplISXfiJ4yBfypRXZrZOCXKfjOFQVf8rRXZDm/+t7qfSo65EfRHMcdek7nrKs49EZfx
Gr7Xt7KtEy/Vki9hpYWbamn9L+DNxMClnM6KXskcu8E6z+kFhGKmbAHgGRfxXR2yQHtNV9ujV+rS
uSVqyThq1PQlstoUvX/Pobyvppp/iJ0cwTuJl3h3N3kz5lj9W4e5vn0qyd4FOevBFIJRMyZpt6WL
gwIn7axVMgsHM7OYqg6W7VzvJHhIzPC2rA9RWjEAYVVrV8wOayujNK7AIY5U5O2TBgaj2WYKtee2
1pKh9kxGbMXJ5owwsXyQl7GN8cpV5PZxjyy/pOdAQJt+7rDAvDfJ6CQtFFi3oWOxujah/6f79f8v
ha3Qo8ZG9BvHUpG3b79As77/Oz/68EKXfzAitlkJF/0jc/i/G5Zwsvyho+7BJbRw7YB7/7UPrwMW
RDBiI0sjIegvfXhQW4tR10GziWINkeh/pw8PbuuXNjxeKVvA+TJNJKeImn4RO5Ssj8SVT0R7UWcI
XpmMbQjhguVZFQ64vYO9ImfBC0i0WiwCN4EBSA9je/jR+HSAVuAoDULK9LAaicauWOuKxrG/zpib
NySeKclhoJzOBdVN+imaZXUumln/iM1gJGC1SzCf68jJl9T3vjd3kWYXz/QIHXrZldv3Rw4j9XBT
l3a+CZmSAjVlP6b/axMyzDTVE53frthxzno3ldEKTwpJy3E+G2ve0S99ZyCBZ+c8yH7UJ2+K4dYi
ZeElnHB2bF3lh0TPDzlLu7TD6CZlzn7o0s7Za3VXH/oii3mFony87yttZ4BXWBeG+2kgFHUXamlL
4R4Uy7fidP5ptJoSebtJ5wCzQugKpoPLEVkItljAduuuSGPKfNQiVgstcQk/ZQdovFnzWRNW/PLc
ZX3uBLtSZMF6mZs7crZj+zQQCPKVO0JGI2hXv36a7XI+YC1oNHly6mBMNnGN5V8O5P/uaoVbe2OM
xnBD2Bkhz3j700kIPd/S4Ml6QKoyDFtzH0djiGKFNlrZd85ppkTktOWJBrTYuCFMuYupFNygRst9
EBnNrv6EhBeMOLM/snvUdZjuOOW6NCxyZ8HEPTSwge44nmjjh5s7ZfzN5ZT6bSJEdzAvRt5YGe4A
znxbu40W1QPzdudzScCzXOHy7M/kXydHZunIGJw68UPq8i4+RNRu5qZOk3vII/VGh6vC8TMZbpuJ
ds2C/OSxpHhdT7g88TAJcVRxAvMj0OctqcnJLinCWxFhJ2/tTpLqqqXGOnLrMPfSqg2OSrWO9KTJ
3faMWPmo0HV2vdScrEM26vV2hlr2Vhhl+tVoK2FuXZKDqDUrdo9W+YojVhvX9IgbVxBwRotDmkF6
jDOO9nuZd1/wA/etNxfSutO4gxaNrzL4EtRSPwH2zrYMmrRdb0oGFXzcTWqb5U7MYrzPwU8tZxUV
30rhOyzzagAOa+jJaekRstUbDdV+YueHftCtSwQ8mVNSm8ozwo75mPsze3Wsw/Xowje+I/MPnaYX
3JiLHTYwvTtpn5H64qwaE/8LNAJ3i3uq31F2yk1SJfkRmFD5jODkQva8db882be+aPS1o5sMNSoB
lYOtm9yv1lOcF7cqojLnDpT6t0JM+m1hJcHnoIyQ6lcSd0efwGJO2VSnyA52cdwnO6S+PpnQC/wc
hPeOeHX3MQCItrLxFp5JcgNspt/mZszIiGbQGde2dab1qO1hNw+frAqWFFyXcaA1aBqvRC3RCu/w
gWH6TXXzwcZBsBF4PL5phAlkXsvd2CZz3B5Asn9FTucyU/NhcWvdVLmrpLflY2kOsFtofhZfpZqC
J5oLgb4Cxm29c1omm5NREH9GqR1wA2FGwdG4qjoyKgedJtpCJPQUFOEN/iLYgnmg9qNlA3ojiVmt
OsIrtlByBA9610Yn4YbdUxsulQv356kZq3seaxpMxnR2QWp5VuK7e80JS+jIZuUcVa3h7CCGTX2M
dh7euamKSGgp8g/IIe461XFoAXEm32IzFRI+iS6Ifo4fWsgZByar4zrh6X4U5IlnAGMmg66k6XtD
S62mxxhRR4vpjeNUcL2RWq6KTje/FGkA0xDCyHochIyhdtvWK8hVF+lKOT8UI50u6dTDJw7tpHub
cXFjpGWCDNQZvxLJTg/ZMNtvAQdBL7GqeVOkYYPwyDA/GwxLbmcRubc9WdF3U24VW5EyrzUo/E+A
z/VHB/xG4kHlT6ptUTTBpikq/Q05Sr2WY1c8ENhBTMM0hIxXUcmspGiDb5wG9H3e586rabSztp55
tDYzS44XAie1V7CThnVesPKrgRaGo3r7xqjmwOONNLcyEMYzOsfypAYrPBZuXd5VggMBDLmeO+uG
05/gUNpHiw567FWGH64bfQJDg+Ey8/wRe5wgYfAw19PUeQh1/swyJhxiLAgys4zihpFD7BH3W5/x
+w33qaNtuilxbyrGVHC/pij0SfLUkptQF9Wac1H8JW16CIgg6W6cUjG6G0RDo84O3QfpjhyTVTse
itGP5IpMazIwSa+9rfsy+ZSR6/EpUHl9x3HRJ5/Uj07diP0oHNT8LGo5bUK9iHcT5ePGh1BHZG6O
dQuAGL2QsTX09pCnc89cxumesfjqE1SnJl9rEcdJ25LE0uqhflc1DscgR/nFMR80+m9ZMkwnK56y
BBA0vCRVSJP72A6f5ci5z+oZSjGEYULLXGU+ikjYXw3+fM0r/Dy6wwMwUE3r7qdptpiEyJmNXuU6
KrMmaMDHRIl9dqKyfPKdnlGqhkqUpDVfRXKtBhz/VVFvm5KY7/+VqfyZt1E7/VcyFQPDzu+K48uf
7/Vbk/ysUvn+L/2ojl3rD+AUUv7Vs//Dzn8tnC1qZhuKxlVu8nc3/5JdiARY2c5VEr9I5v8mUtH/
O8UwA9BfimEFxQzJLAxZinKLL8bf/0n522kgE8P+bMJs7cObOakNg6fIBGI15WectXIqM8b3HE5Z
AFVFzEQyPFmqtg/N3PqPaab8eZXz9W9qEdu3Rt3Y5xF9F7ICRJqIzVLKKcOsmYLNUfdZNlmGFdyB
kdUbbrd1WxVdDGTsrIx1QEe6n41NiXLfYwRoXtogswingSOk9yq7SxI9v2uHoXsA/0W3Ai958oLk
YTguDrVuNWIP+qxX0MU6PdQQRSIfe0hDlT3URvtiE2t7aLB206V0gjubKPQlN7p+WOySW9Pl689+
O260wYSlBLKV3pqZoJER40aGkkl/lFTpU8cE8c1xMihsTeEjYZiRz1Xs4nf4NsJPVZZ0k8eCUq7N
oDe2buhQ/VlV+GCNdrzpddnzrur5eAYTyS5fNc9ZGiFJowBlTimpKD3dLOenvO0STxfjezKO9J/N
PmER0ProXEU5ZLW8tJovuPopARbs5XMKwuOihj7cam04H+sM9dQqpOZfp71yFrUeY4oYlOCd4YIM
1tLgli5YvEXyQ4hpCKivwVez14eCciLMuzOZ3lC1RWYT8o5x+JGVsQOi6iZey8D1FsRWs5+MKr9x
Kn04syBOe1BL5hvZjcWRQVT7CDw8HVkGtWSTGyXTzjpED5OxJN2g9NO3lXC0NS7D/J6oFPOxnWT7
ikor/TYZjf5k9F0Ek2TMb7PG0i5m5GC81NvP3Kty8qoxd1lyVfbZrKN+K1SZr3PW6s2QJ0jMdUtD
XFOPHxVUuFvRlqhtx3b0XLMnmgWicIDtXnPdrwgzutqrasEgXJtNDOMj84yNpLq4z5teJ5HNrVo8
SxkMVr2gBYjDgbGFfOuNXp2udjsEZuVF1iLwulynB2TM+MWbYNySGQ+Fuaf4PZczGtA0KNWeLRSQ
Yh7Ed3qJVDhKgvk2seKyJLfC177Sw1bZyg8aQYz8YDMsx/PXnXISPFm/wvAYca5c4fuO14tg8TPt
Y/1TPcbj2XYTfRPKprsB8AI9sCir/p6E8vm1SjmsrLS0HE+lFQVPZEpbt6qSK45Nwa7vnfwuwtH7
YPScDRPLbEl06Gf6PAII48pCTUAcOqb6td20TgICMNeGVaSAItKY9w8EpdYHa2JzBj8paGRTAXDK
tWs/e2EZKalr0nmfB5W+6bvM2kRaCYUwFPmwI/mo9Ci31KZG6HWbBVlwW4fSWNuVbX5Jo9RFks0k
5lPjh2RdjKqbHm07MQOP1AiNKCER7qkvs2M39zmMUXiKvtdrldVv85IqHJgushHNIjXpotHCf3EE
EaQ0ngq/9GRV+awkUTmv56z4gJGpLzVqNt6Ys5OxyydWlIAM6LWXoG/AecVY93xaBsGIpUbE5JXE
5PlsR1pVyAmgHt6DdBOf6sbPO49eYl1W29QuLH28EUwJx4gfLsg6LMRUJkHmesEw2QpQkk6wwqNP
k3OynwMnK9uH1gy7HuUNLrr8OJcGci2vhRU4lmvZG8nwWMdjoL7KgPNijrAu1QfrOUOTWjkbVTKN
2mpd18YfE20OkZDWJeqajYvOz/90++v/w0Ri3cR58q+bZJc/+7ePn6sA8/qv/K1HJuiRkSZs4pX6
EVz6N6iPWAxMf6P4GOz72LEdzmkWJhNB8fFj3zct/pZlQzJWtNHUAvj593/7ifbW/PLXf0WaEdfw
Sx0A3XH5GJSpuKmgnSxul7/UAWErxz6vS/PG8RvnZRqkxWlJoBCz5lRfTyFpcfSwi6Mt3EowqKjQ
EsxIHPBRpLvOaKqz5eud8Rn4SnIpnLQOTxVyDcSAZcWy0VFkv5i97D+3CXTYNphYT0o8fJ7bK7bD
so3pkdthTq7YMIkHqKGw43u/v52xP4weyWfL+X+uHcSifj1sI8b4e6eO6TTXCclkTjm1O5hXZbEq
QzY0LwiQpJP2BdVbTpNjb8NRDcHelWLuYJXHhOp1KcE1TLqSj8rRqtsosPqMSUA23vpQKRksoEXV
11mZTdA9EYU4h2KqJa0V0dFw4l3l75oLkeGI0XS6q0Krmg4gR5C/ZNk0akfFF8QK5M9EAfIiZ+a9
wdTx3pVx8DDHSX9bgactYyZGa0xVFPd+UxDVBIFwn7kpRL1YFhDNEJyPd1Q3CScOWaPYuzET45ko
idaZy/VAIGJb7X1hRd0u8w3mmzvFchdsnRpXqr4GFFLnupfkaryYsB1y4XEE1A6yEQWxeWVQod6J
banyPNlECsQ7i22ZSsgQfYIhpqaXisrNivx+vCRVL12YGWlUu6uyYNa/ZdkDQteZWMwC5GJhDFZS
TNqWU7kg2MpqsBtzM7veaWHzan24Zh8gLm6vN4PwT0bNkG9dyaZfHhxn3oPotOatNsbEsSWZPaT9
sW27rtQvYsri1kSv2zQw4YlXHAw0z58DGprG/MriOuX1RzvAkWeEAAkl9e//d8H7Pzn40Clf0n7+
9YL36a0Jozxoi59IZj/+tb8vevYfaOkXA7FCVo9P+z8HA4b8g0BfRmnMiP9z+SOXXee8ix3Ysjky
LZ38vx17rD/IsxQmQnqIEXLJIvplufvd8veza5BUZDBoBLxI5gI6XINfbeMz+Tid1nT2fdaTOODl
0djdE6vR2kiuqubLX27MP8GO/eziu36Y6y6Z8eRf21zuciL7y0obWKMk4aJF7we+5PUaBjG1vfuS
RC0mT+CG5WvA7OTNXfg8/xcfDRlWJ13VsbmpP390pCWCYaqQ9zML5Wvu1guc8erIdxbwPnh6TgyN
Xi8eThat6Pu07Kdd56+7zM+OyeXKHQOzJFJcMrsxEv7y8YYZBbkLROU+zTS8oEpbeHE64oryGBXL
x42Z+q/s8r/4Fn98KI+KZPtkk/vVup6XxDQFpWvcW1CcnnIIlgcjs3FA49JwX8qWdBMZLSStTnT4
pEIU9h922RAwoNnch4rJ+Y4AA3gSpBlCC5rnWb5xrkHt6Fu9Lk6EKS44rSUXdNUgpwvXY4pa7XvL
5V/eu59t/98vgwAk5l+GhR/4V7ylglyJLSo07kWn8ax0pLCMKaMkTiP4xNJoKk5keTYfv39gqC/+
4jj98akur4ejeDH4758fGFsDoT5aNbAb0QOwvYI9nTz8BqirwnY1jw+WhOxmOS5Homusw+8//x9f
TOgpV5c75hlMOL+8Kz26RVrxo7i/wl+j5YWZXBB3kCvF5fcfJVhMfr1WE6CJA8cQW/0/QDH8iRxc
HTjqvVy88sh4sKx9D7bxTXJwsIZw4tPt5e0EwuZ9p//DHcfqt6Tz/v7b/LMLN3XJasmQC4TMLxdu
0NJ1Se3VETNVvCSS7IvibLSgqlZXEvDvP+2fvSQOyx7vJf9xrF9BBqIE66+ZvXFfN2Qf5FOIzVIG
2Ji7JcUjq2N5MBH6nGDC8ZRfUwWy3h0DhotQHUFpz+SfLQjBoCIMc3O1jLYJCQhXwl8Y9ngPcxQY
0cpSOdIMN6SJuf39RfzCjbg+rI7B76fD56Wf9StvJE4Dv1OTK+6JQKZfdDWgX5+bsc3K13pJG03V
wLpHn/mc0b2HiTgvnODJrfYlTVriaxMJIQFjCXZK4esNTAXQkL//nv9kFXQo/RX+bb7sPyAEtBGl
vu1LcW/heibkY7nNogRFJJZ8j2pBlf3+A5cd9KcnGzYoTzV7ro55W3GG/fktztrAiPVkau6HBf93
9eb67mi9+a4JJ40BB9WlaeM5JUkHU6XexwA2BkhxjxGyn3Jl5hPotQKD6jUPRF9M/ZEJCkAuz8T1
FjXsGrT8I/J2m94hhlmY6nz13dLSEpd5woj/+6viCn69LK6E3xlalTTwxv86x59V4tI3mIL7AhO9
56JxIzwE78EtLpWpZfgBoduLnZ6ThWFpqe2B//JD2nEB5rCUP1v3JhwaTD4NDjNZ62zBB2stPt2m
E14ugsmE8Wf5eN3N2QUoFw7ac6llQbvWHTJnV0MwhZYnkdk1a0AYvBkM5Zi3ZYtyJonTAhFrmd93
eRueVJPFZyNTxQUdLEoY3Ml6typRFnxGvpTcCnj+X/WkAXpGHUDuBiTpku/Xhx+TVUz2sZ0gkkUt
+/eRfIvMXOx/DGX0kECoETYLBKSC4SSySHq0veNo5UtHtOcAcc5xHjGnhfqqigOkYVDNkNVmVlBj
HiLhpPbs1lDvhFcReYP/pk0oweeW5ikS8PpgVFOkIeIUEil/B2yk7P2jTqfwEYeC6DyHdmZ9T8tU
IIe12tzyqsYgDyALg7K8QyuRopV1cRusVQwxnfxOtt2EZ8SZFrLhNdGnykJ87dcYdwduKd9uCcJq
6FJFXq5mcaEExPLcIw9/+E6Xmhz6ymu0hJqnGh8PG6ao1FlGpgn5OL4I6Qdi3+t0pzzCd42nG9sk
G0QbXSW2wVRkISefaFQHbAbhBale+1VhZylWgRHqOz2K6zVoxeBSG7Le1nhZigo22UCw0GcoK9GR
1t+4VtQB74BBC2CcFSI6QrW3xmwWXzK3sT4XJoPcyi7DDx6U8c+g8+N2NYdBvtY7fh4v9Nt8Vwcl
tjbh9KCrgoyQL2jeI27LSdMmzNfth+SsxFAuCsonzVJRcupzhTAQy3rqZk8Ohyzd5QEgg9lZZ06G
L3pFG9UBzrBCUwMpJlkJgxgWTGUSpSd5JJM22Rmzc+GWn7Wwp8sGrzxGyDVVU6a2mr4UPzPY6yJJ
+IFyDZqRjq+UOCoEjm9M4iHNNiSBo77ihPw8grYjA2hhOmXTBH6hJ/KM5moBBvw7whSZHJuppFMG
7ICp+iuJtvyytpj5URn3Ejyuw5cbmPji9bsiN5OeJRuX3D0irhkJwWQvvvQB7W2kQ5Bql6grBJvW
GxRI92UwoP00M4w1EqRYeCTrkCMz5Dh1WOEX4w1VHudv/vipsq5wSIusyiWqrVs4TQmE4hNnXeOp
0q3lH1pSoVpQATgR8Vj5KO3dLMDU0vL/YCVEwtFHFD6GvkQIzQ7umq2yuDk1eTnkqgMKbOh1i/jS
0Wx0CazlW12B3q5TjA+GZbOpR5AT765rJDWcOvsWmygGKzCbhSIW0l1upVtL8dQ0Hf/z+m2zrkMu
a1aSNDrKTgP0Z0Tn4ZpElAC+qm+voTxBQLReN/OL9KSSniZ0wk+9mLEJLRSOawaSmcZMU30oSvR1
oSFMS/VI2916E9nERfFK8klJ2DcfMLzGB0Qxzcd30kYQU33qSW+9Xdl2tJSajzJdQrzcoHqNE2BI
3hg108O1UJiTisSzMU7tN8Y86rxMcF+RkIAwNVT8IVE8cy8cCKRFpekXPeSVpjmrXxqUL8WZx4jf
zli+bV5UbDyoo/dXoio0CYrwYkGuWCIhqKxbQvemxACL5Bv057+TvvqClLpD1dSIa34QKIoBrVKl
1eCBrgVOt5Qqiyzi4/vhB6EWN42snQzG7YRfVWpJRbx3iYrmBswCEJzMwhWHqCndse3wBUscyEwF
aFPFG4SQ/nuqhdBH8usrJHwLLUQ/1ksZxM7TruvhXsmh+cBXy29U+orijr90gwXVnEuLtY0pgHlI
QhjKAhkTDyaUGZtf+oKcwzlwOcXJ7DX7IZq6iaiOMOXbMjBZ2HTsuO3yeFp5Ki56sJBpEqLv4CUg
SLiTKp66G5AjWrjPCMCjSrOZwazgzRJRCpCIL+NbPMCtTLhnLaDxl7GPnKc4UVW6aZcYue95byk8
ibcwG6hKxzLj+q+LQJKaJHhEJD8CyiXgGIONeahc3rDSXj6evHnlESZCOdYKgFmigEm8cC0o96t9
5Zv8qpGBKCVlI+c+DJSg9OjJhFto0CM44bdaQTZMdAwZm+8IYJyO7rmuG77J9UmUIwKs0zUdzhLU
6BtRpyw+MqiC5s4dwewdVLH8QLgOWZqMgvw0En/cl6idEem1HEcbLMEtRRE+ImogYwiyR3Aw1hsD
D/FkaAsH2o05hshRiaeB+SatfWMShC/6sUskVeSWr3ZQ8qJXYhhBqXKFV9I4qFNWoBqXy+564J0H
DVySMHlFA46oTFUSfUUDVjwt4OInaMf8LIzH4IOogd/pWjFet81pZtS5LhcIk6lCrn22SmINDKWt
4s7IoLh0nGSWu1aX/eiu40Gk87pevk5ocxXJEudWdi3vax4G7jlN8vFBnyfTXzvmbG67JhVqZSE2
+AAfzctlwFAuV2FTWybtW4MRT76kEoaRD7Rl6J0KZKEFqNhyu9R6GGvMT14+SFghGsrgN4lnhrjF
JUryGnGQIoA7JFWhFRtgZ0N6zJiMZZu0C43qUSCe4xFZIj2xTrKURfF17RshLe1IEmORpxQJliO5
bDmvhBnPxPUGfF+LloN7HxusC8vCWgcLHfr67PooBxkkLYTT0Ymmd3hC/v31+UQz7e9iGgH4EyqZ
3Did4hFROsly0kr6YxhMtfrxQGRDpr6VTo90Oqv7eq/FOHHSCaR9YNNLuT4V33nNqE1J41siF0WV
g0Szlm5D0mhR4dl5jje5tXJWomlONAZhBk2I2oqBIkXLBWnDwkOOaiv1ajnw9yYKIVgvwhAXIbkE
HjnxZMGWIcMN3ZDyHL9ih3EMmFsATsa7Li7cF9xz4tZyjPmekzoPta4J9OHtwKJ9XQElOJ5sXfgO
N7v1lzBJTNDcJdMZeG2WDQi9Z2BOg1f2LYsCjV+I9JWmYFrnwOZmHrh2ydSrJj6X8ez4kE1kUa1K
jmov7jhR+EHjpssy9Yqn25AtRASa2USSUgvNj71QgLHbrs9RLOK5KQ7kzcCM1xfAoKVw7rDzFzzt
uiCV6am1OoqQQEtcbHsES+bluFyv4w53ksyYx06N2S0cq6+h5qO5IoJ1b6UA9p2alZ1M1fhbwITh
P9g7k+26jWzb/kqO14cG6qLxOgc4JcnDQhRJqYNBUyJqBOoI4OvvBG29VOErPfedjZSHZRKnACJ2
7L3WXBvPbInecjlShxPWGywJbI951rAjzRluvYGWZ0CFMrsPRQ5dx8kaVjnhyEXttTGHagZTkiyl
VgzkASl0Ek2TX1l01g2MX0515GSvDrVB5mdYNk19FQtLvAaqpF5wV/wQKBPusK43Bx+idz/op3Zd
/E85RIclxFxITTXaghNMWZdHTZhrjJDHV9eWsdTeJ7nJ19NVDf/folBcEFeRGEQHUCKXkyw4ZOeA
JZuocaq1pENWD9EpIQgTo50Wjq3kmfG4C95g5NIKeFSDtAXkpHe8vHjxaDaZgvrAjiWvVL1tJnHK
ur2QF1V8EdSY7C5Bw2x03cMNjSzR2F+jZN8OhgmBpc2pLPM1R2hgTROu8mLUn6o7vAVwZgGhxLIJ
yM/F0vhgaANiyAV4m2sV9pEzGN/rKvUAF7CSh8YqYbV649q/xcq8rZsBEsibhWgYa/tG/sPIwaLe
xIF/ieyP2JkYQ+i9VHbz8S2eWAyse13LIzSsqaRZrBUQQ52dm6wrM+5XdiDOdunBdNLsiz25kIyc
htwc6j9IW07RkgL+Z4WBEWHU2Jkrxiv2kfGF7h05sKFH6znfbPxx7PaCjIRduY7xOKuQ5QQ7ybj3
fYOWnbPmwNLn4SPxcgDqgIhMThIV8tKzO83ufUrHGnvHmm/kKJ6HZY11/LNkdvTqFWc9MIWAtOZd
UlSev3Xnwdxx5fQ+7Ub1QaXucpnac/ahGZMi6nlCWJ057Sw7NsQRpaNb6WY4241206FDx9i1BLW/
tTpLHczE0V7GxnI+QwtYvpRUla+iVD3ltiyhyLizSedi9fJRlO1LmitPNi+X7Nc4LhGltHXebluh
WugXKjujSfCjJHezR8bbyXuXaFYCLipi3Ire0fez78znwGpi7OFe8SLamd/k1GRyUinXQXKz1Bon
VuKIJQS2Qe9wHgWT+/GtrfDvSBtpyJf/+3+eP1cZbYJ+6LKX4bvQmRUr+E0H5icC0/mL/M/huWqY
83Rf/uYn/xryePo71zCQ+TBMMWlE/aVt88x3DtuLCcF5RQHDjf7vlAdFHIMXJ6CVgzLuuymP+c4N
HP5zsE7II0z9H8Wlr1K2b/GJIGv4RfSJ1qE5/ey1n/TN4AWfl0qwAi5wzbE+WAstE9NNHr75UG7+
/HXfzji+77VBHF4vEjDUd2jb8scPjdtBTFpDLbMcxgI6nfL6BcL/5IVNYQ/bX1/q++b8n5ey+VhA
5eqe7vzYIxYVIps8sZYDxTkJACW9AXYDYjBXaXMJLfRQ4U7eq8WxN9AgxG8u/9PHuc7q6Bl7hmHw
pf00zcFT5kjXbA95Le/Nynv0sz769Tv8vlXKL18v4eAjYgJIK8X9oXHZddo80hRtD44h70n0eOgD
Q4QjZHIcI+2XX1+MJv+PNwg9LJMpwxpftkKI1wnBNzeIlbS2q1C3H2xptSfWU6MJRaBVp8JBX1TC
sGETbGFdJe2gI/PGvbtpy4BwCIJwUTUgBkS6bCbottIcmwjm/oCwGDEFeCvLMhEbJER5vTFbo1n1
5MGmQyd5xHhq/WHmco/EaHit7TV0pxt082EmISnUGHhUEcAN6wwyDMV5WljRqM/qYcYTc4mVQFKm
0WVFr0wRe+8SvvmYzZ7YBFVn3caJcK7pyhV3LtGSm8nGnE+SRnKm0jI2KJDiSPhju0El2u6mcVmO
aKSucLJOO6uqXm2vvBOZ/YKF5nboaDVK269Oja4+JZONZbvK3S2yY3BQwMiiolnafdE6WdjVRuT0
ufyCr6I9enl63cywzrIAH4ttVuMWkaF7VmArwkBz4xOqhQdPM+JTnmYDDUSwOtk0wZfUgnsFzTKa
jTw/L0Gb3A8uB/LRRxkZTAnxGglViYynw5KV8TYnkOEKv01ISt9Gj0GnXziJ7hZbRO7DvKqtkuCI
igr6UMZeeN96VEYp8pqQTHEyYgntAc/WGFh1atV17ge79rTHtJhorAj4Wlsftuq9MAo8QV02Hphc
IwrtOlCfINXTi7hquytR6s7WrNtiV0lgLyi48ptWiDnMZW0wcB1NBkul/kAKnw+Ho1Whlmbm+HHM
dNhRoT4bl+TEJPdZilWAGGVjE7sV0RQtWyaJ5wYZEVoXX8Zx2t02C7L2qusvY/pFH9vFH+5twBQH
PKDGlaEs91DV3As4KbPdONRqX1fWxxQzB4ayDIAARZs62MQ73+puku81q+mu6IKLm5F92ezH+Ype
SEOwa1Pqu06SySRcB+lk5lLQGfQl911gjxdZjFiDHAf3JvP6XRxbkH3jgUDWwEg+5WORAvpxHtWU
nOwqXpVE8raZiw8c0pHCThzobKgXFxy3C6JMyKCbxkTeErBj7Jka6wcDuvJhhipwdJq+vZiFTtGp
J464rmb2De5obIU06xP91orb+bnXhL6m9CBgpmC9GBLX3FuKUFy3RAmIF5zysIhbL2r1lqslhYVJ
NtA0KxQmGPGYMOaT0vz4o18MNSHnSbBP4lheKIwtIVk8yPKJJN2jDo159ittY9o6OuB4ROxKdcWR
opSnxUyNS0VVuotzN3gQoDmQwrI9u176bMXWY2AsMLKGQb/L1KwfzMn6BBjukhDO5D2pqfYGkTLP
dkaMry1oq8ZFt4E9N0SxnApc7WTguEt+pfUtsII2LiN4q5+JpYGiRhoD7eM4mY6xljCS0PRb2A67
QYnkkHNy2Yigkful4Ncmsdt+AO3pVSxPUouathO70RTWcz8RLyPSxt32atc2iXXv0F9gMlJ09bH2
pv5m1BrrmXXbP2aVtGCBpKhnVwlpmmLqxhndLOe4LJglWHEzfxCGX16yIC1Hg1Aiph/Ox05I+GkB
HQuJb4JDUozNW08vsWvsUzYAmG36NGyShMNHWRn1ua/8YzmZH4qKgQYna9z7fneyOx+PC57CKC40
/yqJiy+xInt9afutN5r286jbDYova7puUKAHG7I5cT0Ns3udzbm6hG1fHt3K5MREj52e0yKfBOJv
mhVkhW/0ICdouHR5gOBDqNXfp5WPhmx1rBeLfQvg143I9zFCo6xyjsdOae29Mh22LmRZnhNXfUYS
pl3TC0Ul0Ndh0Xn5g5M64JKCDH5I25UrD1LZaL5YPUo6bftx8ezL0spkC49kmVBB+9oBDIeLf917
8QwLufx6CIpa+ouY233vvkQNsAcHW20ZXMygOmb4y4UNCsAN0sOY0WoTanQOzuA4125mFIdUS5JP
vrOtkmzel3PKxz+l6oPByhWZdsA8YJhLpCGJETq6QaSmNhTme7t1ty585cdhLuxPanLTs9u5y2Nf
WxEpb0AL86brzqPRDPBtcu682csPNhFEG3iRWsTm+VoXvYn5reMonMT9kf1RHqfcYs1olfDcC4zv
SOw4+fbjn3XFv0X+74p8HGXUUP+7jOs6zcR3tf2fP/BXbe/r79DRrB5tyOqrsZsC6a/63rff+Qhs
yA/2ra+C1q8iVuNdgKSAIEoDgSmFMdLTryJW/91qPIEpTH4CP47p+x+ouIwfa28PXZVPwcidT+H4
k7GbhkgypbXjHPE9N3Fk5ktxl65pRvhephDbX//IxHvZNSDHdzRBY7J5gKgEva4+OLXffLTdvH/E
3dk/Jko3f1Mvfz+uRu0WBCZjUYcXaAJSfwv1/aa6DEa/Aywd2Md8ssWzkzLCYXpbr7xGCr4W8eI+
aHRADI0o7M033+LfnErwCv1Y265ud3iymN85ltjWD4cfFJKQnMasPcZJ/FTRZA9HOWbBVRF0wo3c
xvEuKY1ryKuz610oOwC8mnfZJ7XUy2dvBMQUNTSGT0mJ6LdwxxLCXTcW264V7i0zZwwZiuT4I12i
4dJorGZn6w0AMeBXaGcrVkbEAtV1as46cn/URKHut+0MssPzonFcENv7Y6qx0g2uIj7DNT+yBbD9
9Dmkit5nNNbby7Yjo/uONKx6J2a7BugyWD4Zli2klRBMeh5ahNs9amwcW0bB96NaOqY3S0sT0XOb
GsYS8hQN/txEA96aDjNx3GGB7WOTL8M4M8qTE7TZGGYlAiCG2Kaan+p85T1rHD4uCQiNI7ebh0da
8asfSC+lvmHfUxOtN989+FYx74CNuXsVmFmo2ShUsROa7V0wavkts9XMiHIEsMB/6OwAB9U7sJsq
2MoRH8tuspSP74BH6Q6kfqJYIFu3ZNtPh3tjFOm2Hjw5HtHxlLA8zHq4U9nop6FhSazEmWvou4qQ
T39Tx0NhAcdyG0MjuGFZIUsdbcEkyUzJXC8YN3m3gNxqGOoenMk0NaacLqoGx3ny8tnfpo5b3xR1
p3Z9QluaUSMiL3ulBG8SXRk7amVG44N0bubS1PaL6Sef29ScdgDAsXVNE2IEalXU5tXdYs6TxVhl
zE9L7ueR7wwe87OhOcA/XbZB2QyMDjqx7CAeJbBKcowQIVpjNYQTOPu9P0CLizVfnRjgxw9Wvoba
yxRWJpjw9IvNDAoNBQUp+iiv+oJodIU6LfDvOY6Aq6UObeEJTguTC9cD4hjx7L1PEy23zohcRgfz
TYzY+D1sxEw1jIxrMYUx1WQS5irmrOTjX/pc5wSzY4fq8r2pC/m5KKZqJVOmmDg3UOUn/QpiQZc9
U+CXEA9rIpmv+76LT8u4rKE5Vj49uSpj2DJjg30GdjuMgCRH1fFUtNrwglwxLwFTDS3V3SDsbDuA
KNK2gsPM1TQbdJJ73RuM7Tghx3s/W2KeDxwi6AlrcU2tIuqOUXU3Ir9YCZhYhaiDnXrNSGUak8hC
PyxtkrIVDPVllxLxSBVsiWd6gysZci651RX995mQtDvUaetimPL+C/jT1/kyemdzZOaKySngat36
3uY0dt538WLIbev0cU8v3O4fh8zNMRgR8KttVULfhVbgcgA433xkfis+Svx/PSTYCdRsKnmQt70+
Kg1Bkhr/0CEZ6aAAO0c/B7Fc599mI567vgycqNHKZfe2lAe8czAWTLu2Q74enAttmM4qM5eHsmfO
IsJCWuCn94z8YmZf7ATG/OzQldWbkw9rjD+KhDQp7qPZSGwKY2OR01OdABLsNxqnhedxHipuHWCk
F6Jb3HPbG7xijvVC20lM7PnqT4K2i9fteq4ZA6y0JQhuvZGr2zFLzGubIMlukwFMuGaQg0G+TvAE
RYwOJtJTPMpjaty0uiSM0wNFwivg3sUld6xptU0AjnF3bRbLiceo7jvvkzbV0MT4cIogLBNYepzh
3Vlngjv73SZlSPxR4HA/p+5MFee7udjEpDcfaRbj7pK9+KM3hg+Wku6RmWvu7I0hkLejW1plpEGw
nPY+KiLOH/TO8W4KLE+2k8c7Y4RllVpTDAJRwx2awsW7N4tRkXqajs6LM9UuPQb4PDshoXOYAs9S
aTjq0i4xQmAzTYHyMC/fDK1fHlWLT4kTdWdcWHBFjgEqfsxmfazdF+wzxIJYwRzZAQi/jdFWnonX
uudwMwpkDJt58Op5X0trZvWbXAQ7rOMYEBLH3qmYBb+vrP7xbR/9t3D8feEYUFH8onAsymeUZs8/
FI/rD/1VPAb2O1A8rBcmKluKkYB+4v8zPq/+Ztf16BDrq/yev/qreLS89W8s5H2r8Pm/haNFl3mN
jHQRlK8/948KR8f5XvuLoBq7NRT3gPrVZND+YyBeNxXIUl2jPTGWxNkHpnRIp4EO2ODfOtQB4ugE
GHs2BLouzrboyLz4kA4OzHlKXpQSigVggXtWBVnMYBDf6T1AjfKCxkGW3wxuDZany7yPzuLWp9RI
wLvL3IyCNY4GOUVWnWg7cA4qAhALU15f5k2rYYBKG8GaPzZEaMwGSLZlCpMlNWEoA48PPk7ZDHwV
ENE6W2Ne8jRJNfo3MzEHNMay9JIncLC3loszMgySxmdfGrT0acTcUB1EJzAJNcBQ3MvB0dMh2Wll
pZOwQZRjqjag55khnsvUJkR+x4F0ac6i73m7KXHFXsjjRyzGgaYNNtstyEidVmmNbQMuDEQIQHnA
V6DenH1ziUe5iUs+zxb9WTXKVTwf6DIasZ5yaCbnRX+Rsuzlsi1SYtXA3dPFo7Na5wLybDWC4Zw3
7lgzh659U0PzOAQ2LYbUX1qbXmPe2EtYuCgomhBNnZniUqXNJ5b88xLPc+9gWq4S8nanhH4mXVp7
SvZmoeLu7FWDdtSRKtyQaRRvFlCsG0mjFDVnWh9TTZv2CSav94VGAb2xepjrE87VW6MEtO2iO32G
+EOHsRxL1EdzGmXMD3e41YtLYCXWXvR2BYJ0GPdFPbUDWfbC3ZRTOR59BmDeCDy1qmoRWW6aXDtm
AFo5LVXk4uyM7IF6JXcTcYCjHd92qA4e41ob0JcSxrxZtKm5LnP3QyGq5JYGdn8Dts+7BT4yfcRR
pqIkoKnaNam65X4Qu3kSGTujim9KU8zwShqN8KYRdnjsmTGygsw7B0ERP6QM1A9MD7VrTQGJ3/R4
RXaT11mXsRuXezJssyUygBXND81KHkX25n5oXaN+DwoJWDdK20SFTg4JMYRb5KlQoGg91p3pumgL
4BOP6GKPkgJ9L8siebAaYV0EC6SXjdE48h6iG+48vyEpIRoxPL8a0qYQxsCGsTkRdU2mkEBxxATh
hvOcd+ykc5/T0uvz0bbA8Cjv0pgbGmioE0oCA7txuh6ThJGlUuKA62jcDPnMd40NsLulYq8fOnh2
+wlK4x/STB+NtptChIb+iW+62s4Nbsa5b/yrZS7Vbez26QkSZnefGNbyNFpLBXBVKvMlR9p7oS01
W3nbWt5JlirY2XnzhTlAfECi3W5hDpGTA/TvfVD445Pu5uXjTIH1aMkhWzlkfvHYMvSEocUT5mpD
t9c9ACJAV4dd1sDGEiCbKj8r97CN5us6qJ2TVPAsN6jbwXfxs9q1kRM1vTgLJyiOhdlNTVgUbc2G
WlPQ8uQuRuGXOr5ChDlofQSQfN4KOTahjIEK8LkMkHDKFYeuh8AG5AmtaR1xkDYfbNKHrget+5At
3fu80bzPyoGrRqdsdcw7EisL1s8lv8cCaV9U8Aku9YEqixM24qIsOQZ2713Nsmt5NMb+/QJMKHI6
Xby4Ix7sRi7ixoqD5Q8UCl27MTAlMm2QDcqBxP5ARDacwRZm6kZWLbBG9NlXWI/GjwNIxRpeT4hu
CF5tYRjkFKnuhIYree7JuftSSkrlfmovEfvIreNKFaXTCImHyv5gaZ4JeBDx++VbIqoNAZJqZTAB
uRd2igWxVdquo7pKQSD64rbIe8QCzWAg/hkZ0E99hniC3BLUWCjjsA2Z6CvvhLSRwxWJtN5PQ+z/
QTYZuowxGxFuvIkoaebPd7aGEFBMtfM8ronuiLpR0MzDKn1+U+knRMWAn/RTWqbSxkEfoP0huaw/
ewnZD5tktFABWQ5dtj6j5V5R4W6a2UARa5ji3Gd9wS3qiHDQ1QtE7vrOkO5qWY37kF+ahElOI86B
fLEfkJheagNH2AB754stOudVaPbnrGnNS+TKPcShlkN7GeTbFpEJDzmwHshR/lVgFcUlQB1KwXx5
SXXmoK2+iuGV+iD07j1eeT30jS4N65gTREbM1y6jtYTqegluW6MTW6xX0IzsXvYHVIrnspgSeJ9Z
HHV1ZzxmrWPvc1AQO573l3yp/bvWxGmaUijeJx5mVSPtmpNEibrtutgprxzBXMXp6+lKkHB+0CTp
ERu3IrjCBq12y51bRbWOeAgfVfe5VT2kT5OctuuitP2HBLvGiVfIQASKVSichtNiWTjVTRVrwMNN
9KUG6IlQp5MUgW/NLrGKeRvUXWI/jGqMYJUOH82OGV3pi3ozecWnoTf+yFuQ8Qvb4yVBFQm8hF6m
yDMZMda9KCJVpUgzLNW/GrA/tqMxj+9z0FNbRm/EtSV0PmyfTAS0h/H7bCJ1j+bPsJeB1fIqsu6a
4YdlbPMlAA7E1I1ohy7VjnK8QFmdEtZMGolul59aJcddIv3iM8E1xhZVId+r739K/fJLV2T90eJc
EupewdDB4Z9i/F6bGavagcGzftSRA0c4pcydOWTGJWSw/CXIfYe1M9X2iNtAUiHRv82RRZ/MPs92
uL1bAnMSaPLMTw8WzoWdp6i8NCmcfWGm00VGSB3PkWraaDA0LdJnVOC4u6et5fX1y+BIdDN2ec8M
C+r7nLoHOVnoRp2rxZbNobarYgNdw9wJw3lp9eZ2HH1KB8ApnBZJ+ut0DRwi5gv4Nps0ZTqWFQsV
Rgk4rNDF2Wu6W2/F7fctfqAKYiMwp7VncOfTAD/l+LJ3+OWJgghQBKEgMzfgBU/9Uia72C6vrErT
7oJeyX3pjsHBnvMkWqzqVivqm7nL0h1eLpTjgM9Dt5xvg2k0Isg65b6HVBINCzATOxGIL9ORhv5k
wa3WPOtaGxSY04A4nME2swMIV4G43PjSxq62BcBRoRokjcnMGoeNrICqXVvjrTSN4CWr5nbradx+
cMkPLnZ/XHUg2dACpZvJGenIBc14VFUXMNJPNPR2i3+qhvm2zJxPdux9+Pcs9f/jpTY9EKa/Okvd
peLzl/8c+/K5/vzdeerPH/wqtDHegYow4em4ABv+VNR8FdsY78DP2DpWCozNxJZ9PU3Z8CRMgwMW
duevAp2vhmp+HWa0t64+B61/0IbHT/xjrxmJOOZFi9fA6yIf+XsdRQt+t6sgq8PtA4eXz6mgzGFt
2CY+6rPMdJ5kNU1X0KEYE43NU4nOjAKcxpIYS4r9JS2ihqKZp6Kqb8pRf4AtQRpIUxJjJWxJrjZH
rGNnkFtuz5q3ywnN3Pi9d27KCQi/MkhflN0z2sor8AFXlib38cBEYOicgL43zdxyGv0NR7LXUR+z
c8XnGLZeQ2wnHgPEsdCSFexi2rvLhQj0G9forU3QyWdmggr9X7edbaAQ3ZC99mVeRJWVzFtP+GfP
UnuJ0C1skvo1KOoraUx3sXLSjZ0R7WQWV9AZb+ycUDXSCUI2zo1Ks+e5GUQk2uXFYW0pJ+OF+ddT
O/c7FkGEvwRRPMatfSCby91Iopa2An82zhwfRaL1VEzls0dq5w5p3J3eFVfrJzBUox8xcHvNGwwV
PaDOHbY4ThkVk/ox8Xjm5XSfWPJuPfqGqG+SY1cGLzIugr2R2ockAbzKHPi4rLYKTfZ8MLpOIwjz
UzqaxACpe5eiRTb2U2oVJzpmaCrzZ7E4Z9j8VC6u3W9t3pC0s1eCQW7sku9qtgYyQBo6SHZxWnAl
oMRO2fBMalFI/zjf0g4mJvGMG+Yp6TZDrBiOqwdpaGBfJ9r6WabVM7uh3LArYHeSSCvWazU2/wHJ
qTey128GE7ZQulwYfrLS1XXcPkIL6dS+WrilcYxkV0WhLky+nAOQMIjpGe9QgClBbM7OM7glchVy
24qeC00ZTes0sJdLtNknjjIPnY10OHXUfaU7kZpriYS+YzQvsud6wltK3BMkp+ViMhOCJdMuA53h
PWVK/8NvresAGUfoEjA5m8NhcRCYQ0u5X1rnkMET5Ua1DknFd7RGsoXFwAScGckFov90K2EvQbEy
rFPgcSfg1ONIaVbWBiXmQ50YLwGHiM0agEWuW3miVrtvu/HeVuVrhQ8uhNIJlbdS9xYuOUQgQ0MF
I4BDuhqNNIP4vLfP3ahdToL2k0DFuQPPfG4YcbFr8XO8T1oAHrei5T5lXjezm3A7aoY6NxTKn2CM
BSGanzmiMJluLfw3UamSmIqRsn1mNHBoCVY6tcKZjj14saOaNGbj6Vxu26WprmutmXc6SU+nCvtW
aGql9TIY/ad56txLwy+aVfMjstaOOk6weRRUrRV5xSKfY0+gGeD8zwAmt9v6oajjh0pxco8Wu8fG
V1HRqjQ+4/r4xMlpCgtVbjnnzuFiZVEzzN2WyjclAdd1KWAz1YHJFUPO0KA94+m5qQW4R+iOD0Kj
pgSITjk2YkOrZ1KrahNHBGGK29JtoXYBx2+WwN1VbMoRVWJ8YwxQkOlREP2amy8Cqd6mbyssFZNO
SJNp7CyPDZpXEW+wb8WblsZIpJh1Xtu6N+7VqlefC+/J09zzaLbyGE/dqya7C9stTt9sOn8zM/xZ
fBcgvGNWyKNPh+3Nbv3NvDKDCDOCYOGoPOEptMZ2QAijzpnTXi2x4f5mQsmm9L04E1x4wIZmIWa0
DXI6v98zAluOtTt7NfX+JCIkJieTVHI4uCzov35fP85hVyM0oziOywyyVwzH91eSnqesPG7EwRyK
Z0YL+CRZjnNDziE5Uj2lvJz13a+v+ZNUc72mz87PYDpY//z+molVByk2VcQeBCpsnX66JxyjhH9K
qJSGtWN9v2UJKLhndfv1pa2fJr/rtQMA3x4aWuNPG/U33yNoaLkwzqsPPXrAKOdQeDMz31yXiwvw
/8VBD9SL7Im6KSTw8Xwiq7MDPI1/cX5JEckm9XIxJujkmEAcggAbPcC8LakIpO6wfNOjXb2l3Ksi
v6rdblc5052qkgfdSavIVfZ5hCkUKiGCveNgok04OYQYiebo1+/0b24hC305fAymnI65crS+lW+a
ZYbHzLTrQ2oS8yT0Gz1YbqqF7sFvrvN3nyhohrW0QrnwEykikIav+Evu1QAjJIEZNzPHiC12NFDY
bpBHvV9cDYlR3ZbTfINUvbpNyfNgDp28thPr8lqq5AUFhGGqi0RjcBvI8V4L3LPVTfvUZ7l3mqyC
YQUgtlWmekocc95XidlsVTZDr9U7wpIL9aA6tv3RzOzTkPnVVjIxJHo+e40z0vZqnHibTvliT9DK
ayyWBz8Zd8vQs3k31iGdnUOa1sTUEeGHwkhdFJ5Whua43Hgzg1OmMQa0eO1T5xRIiQxqrF9/kH+z
wtDZXxXEuu+Zzo/AhoXDCOkbVn1YUPSv5YRiZaPT6m5wkx9+fS0q7B/XF8she4ZvC4W28yPhojPn
jKTTuT7g47pD73iqxO8WzB+ABKtcOfDQddhMKwwzIFrg+xsQuWYx4O6sDyKYml2fESMD++tlXemz
xZr3A6PSwrRJtDfPMg6IcK3LE+3Vxz7P/yDuCmVwNZGUVebWAY4fm2zA6tTM1ZVhJK+LK4ELx1lx
KC0Xv5VjSbpCS39ZZu528psP/sC/dns/OeL3QK3mULcYhoWcNmibndmZxFoFrbkHXjZsdDN7degV
IjwpriZVoHFO5pBRIQWqIal+0T7XdZqFkz7cidpMt7a1/AbhYP/NE8t3ESDIZx1G+m9+/4HVIEGV
mKv6YJQcFCa8rmEG83RjagXvmZnwanzLo3L2zxVCBvBoHVR3o7oecu7luKhpFNXjTsaL3AyuIaIx
1Z9k3liRrwOKA2d+JqjYJWDGIdXTzGkwshI1QooIhcMDBsOXpdc3ZAa/VxbVIZAEpMua2hep/jBT
iBHMkjZ7q5RIc+Rd4riraIL7025Y+Hp3QgGtQZmr4jLYm87yEDTddPXrG/dvHhL2jPV/BrRA80fZ
kExa8HByqg/SryNKHLXxJC/Hhh4RN8lvvhGk+z8/J6vPgmUN2qz/0zPZ2tZsAY0nVMnsa1SDPcFP
cX6K2akCg+9nYbC7wZ7FDMRkmcpzKsCkvHILCkACo1zkB4jWGRu328BdaEesTeR69slhQdU8+ddQ
C/owDaj2VS2syGr6F5zDd6qcLypv3Yy5zRKreI7lWqVKkkoX/aodEe0qYYaUq9uJST/5vM757Xi5
2MqKmBiZeOXJUKBlGeYNmfZNPA7k3gzpUa2ogPUQBFlBRHIowHOP8j4bOEj6RTIiEuWo5yzyvhsS
iPE2fHlrYq5t3LRadgJwT/+ZqF5cgjMjjzHSKv5NPK03ZDNCnrW7frs+Rr1yINjJezdZDxAOdk7f
JYGnbKmW9Di/UrRcIxpL/bbTnKc2h8lQkzN8GTjqpRtgAI5rBn2ZXWUwQsNAUYrbpf2E8/5OWjbS
LOEcpro6IZg+LQAZybnhAR6G8sShGPQfO0uWTNyYPB2uHK6YvH9KQbWeCsOhMT1FltnN4XowYuqS
7SVC3wv40OdysJ/MjgC939y5f/N4U+tg4ABUyR2l/6A5K2dyC0zbqQ69N7+A0r1DuHKmvuDDc3is
1/rr7agthsDYDQGV3tszX6fDbpbEOUGgfqnbyooQYefboAgif+osj1SqpA3xGtXbQI3zoTR6jQNa
USHcQi6DwjZ5AWYSXDUdiu8lYV+kxYUvGndPuHgEcmisMfkwP0wW5ZbeWU3IeGQMVQKhuPSprBMO
huyHqSX4QhLKbC8npmBiBQUjfdf5HElxOF9N43hnO2O2F6WrtsgxrKiVywUwE8gKFZZLQ1uA584v
kAga4o6HO4/TwaHIXLgMnJ/KYby3YEev1fzgfd1f/1Ur/EatgI3MoPj739UK78U4pP8Jn1ELZt9H
Gf31o197bD6UQUOn7+aCTvrWz+Zb78DnUVD8V5rwVbHgvCOmaHWr4TWzmbRz13+Vu9J+Y69zeCRQ
L5gWsPV/0GfDB/XDWo2sVncI5OJ3upz3fzzJjJmJOi/PBAYwD+lVgDOILkSdBfsU6sjOrVnIkRrl
/m2QWSBazKzOztJlEZxAopPGZ40GN2pmPTLLnG+Ea9bvp96NPwFJVTekxNNI9+TiHJpudSljmHIu
gJaweRY1TlGpCjgyCCYQvKfoK6xL6vz0XBiC82JpOxZI5rbEARpkaHkIgqDKKxj2qGhB4vDaVytX
wQtme1dovX0NLUXdFGlsE/hKP2Crt5p16uIZ8R7qkBqWq5WaKdrevtlMEJGu4HyAcB7M2DqOIEdO
EnzFkVVTr0nYbKePevU/7J3HcuRI2mVfZWz2SHOHcmAxm4hAKGrN5AaWggmtpePp54BZVX+J7vq7
9r0syyKDDAbcP3HvufxQu6YI+3deBTBDS1im3IYDAA0Wy00S841zHSCMs05I/NwWAUFfwUA1JuYw
YAxVYC2YbBP+4EcndOZbt3TgFMklCb8vrsMJnMmpe6kXAxEDdNTuxWZN+lJOIrsHxY1/ek7im2kI
y8caCetN35EwcQEaO3JYCTHdIs5HeR3GhlyGkN4bwkiXuPbuCE/TAegg3shUhiRVCysJZxrVWREh
utRvMvK8W5hwCMU4y4XckS1Nio6fT9VeeUXHdaZOMDnqG4L9/FsHVydqENt3jh3v335EwHdJaDG7
jTieLkEywbCOx6JggVJWD1I23p1BH0GXQmqMjzUXLyF3EneMfAzRJ5+gCFlng5ilE7Lf6iZrm9F4
WOxCB65K5ZnV3YRHPRts7mbT6Y4gcEkfH8gQssqk+Qq9tfncIuR6qYW2oQIx+nJX7Vb3XRoFLPA+
hr7pwSC7m+soJmvK9h+4o6I7UvWQ8PozeoStg2OGAV5Hiiy+HnPXI+z9Ql4sm9ZO+pd1baloP2iB
62hOy+QIeKtfTsMAZRvT92DAOTFghE0oVANLzB4hv53lp/0pdjIHqexUD/dIWB3WmbiHbmvPkNZG
Mhl6KqW2r2LWhFO0tXKbdSGZN0w+YRq1i3WI8PP44cZI0wlKksEb0R41fnnvc4NuENWyjwIGY40V
8vdZxchwAPDiB57yvH0EkAJ1a8gkqz/3bj2IU45UOnkx687vz8iiCOEr+fi8qjAyoHCRpmVm4ZUq
CvZmY9+9xE1xDdwtuiQsNvG/pTj/RnNjWkVlG2coU4q8JeDFT46FUjdZyLsVS7+Q/KuzvXD5z94i
+JI0mAkeikkOtR9XVwixm6DjDksHicYFoDyqv9QEEJLxGXp2XbKJjzzeBmHVVsiGrUW+MzhWUSP1
lvUuSc1mpfmjMurNLvpOqhLB0lokUETGwRx2up/nC4MUnhOhOwRU++V9tXiXPYoBNPOyYxNdzecJ
DEigYP0yWiZ7GU3pgWmc8d1ZOGnyEJJ/uBxAshDnkphyw2RdXSNJeeiXDrdgNK1KYucZFjoCymEY
qGWH6mbyxD15cSYrAVphlN4wim0SrsecfbtXu+z0ym7bpU55Icq6e0+1uhaLGX7GvTIdgcTmD6VL
cZuOVYcGCAC+TVrNLUFt1h68SY5rL9YH212uk8bDZmOLfhvHXb7XEq3MbPBVknkAKTFtVe8yb/kM
ioNRaa5ulrq96qcsRP8aM620qvbQhGW7T11DXLHdnm7cDiUQDvyvCCWbQ5lIL0hCHe4rpNqs2J1u
u+aKHpeKYiYfR2PN55IXhCeCqlHR26pV3UWSzidTutyRyVFRmFTtC2a/6SjA3T0x7+n5YEzGIWrn
H0PrQj2KUx307QdXygzfCC6HcT2HMQSu1C5I0aXLOA1QSbKjVdjORdkk9d6HOMsaBwXWoR5gmHkE
km1nw1B3Qx37hwSwFt488GO9Y7NyHd1FkZfagPUfEcekgdckPUvVJnz2G4dH1ilCwpBINCfPt/la
VmC4Ngug7tda5QVqVZrpMDG9PUw7/1AR4PO5hpb9wjrcCPqRWJxqKpdr9GTQnhpoGYVVeHcW/3DV
ubNxQyv9rKB2ia30Sb6IOsS/LZazecM6P5NnZ06jSz8rPJ8ZmdOAM0oGtc1Mqka4b+ij7AmFhIN5
bzsiO7y2EHlsliKe241Rg4Mh+9Q7qFoBn2gjNN81EoAG9eBzX4sOmVdXNrtkQPMirPbeDdPqjmG/
uLZSQOAeXkhcGHwM7GkvZrPbzuvSxjSZHI+dbZxa1EXvFlu096FomcPFBLxs0Z5M5LfZrj6Xq5F9
m+qGTAcnkU8VaQP3MXKk70QsREHtN95lE5pvhj/8SEA/v+LtwfymIYl3tvMEo8q44pnKtqaVjUiJ
OOcW3YRPUWsfGLC+he7wzTMb57BUhJMvIdJFK9GvetT+rs8rc6dU+6UpcBiOloBzRZpfK836PSLL
CHiiUe1Mz0qPo8lKbmsu2mZBEcrbvHPbIOum7K6U7jV4lvKSEd8QFL2JasGMUCRsp7id6qCTxXId
6T6Ex9V9J9TvkTUEpRT1BdMYyfJiJCIQdOmO7SIaFX89XEnnWosZgqh7uroNvCIriMsw+WJm2aNh
uuzPMP29xaZKjlXiqfdWtvfDKH9g/AV4kmCUNdRnsFsCqQSUlTkT6uzrcMFaPCA7tPDPRvQCiz+c
ySkJOTvrOoA2lO28aCSccNYFqNWaMA1kBakrn5JJZ5c5n3nEC67cy7Zj1JD2+FNEemjHvD5X/fxg
L3G3J9S1ZLO5mp/T5XtP/bntraF6YGw/bhOkCVh0C0szTyGRzGENtNFlV+zJECs2reF9CyPzVQK9
/ywax7rBuZUjMXNQ5PR8rpxvhVnIU7IMLNoIvbsgzw32SWO+q2LaUhd8Z+pJ7C1JcPWWyLnp6NUh
ccJ2bQdJEyML99z4QMWi7qWhox3a8XQvqB5vzFKFty2hWS1/9CpvDwk6q1h39tZRNR9RNngEEMwm
4KpUXlt1+jRntctWNR4O9ZQ4wP/Nsrof4qHaprSCioQyB8nkxuZKvzSazt117vLcp8lhLTaJ/r1B
cx9t7cmny6vIvo6OLNDQkhriJpy6G6CwG7yb3bbtFD7G4o29aIkJaX6cuuG2lj3Ct/KKag12rLsw
aevDeUvOWUYNOKxMXB5zRLDEpTlW4rCqUrZziYnIu3SLhqgOvACmxlixYcy13Jptmf0c4/y38fsP
Gj/arf+t8dt9yar+D1L1te3jC3+VqrufUC5I9xdMvbvKwX+TqtufmCJ7FuxMW5mo0v9HXOF88vEx
AmOD/2Gjb/yt70N2AZ2YLZpr+fKjk/wnfZ+5WjZ/P8smJZfuUQjJnoNVLDudP45NfdExNgob4wIz
y3gHz6IIFrslsjNfskDVAzTaZTTvrdzFyFHhmpMcuidPelQ1WTU9avq2C6szi61seo9xhCBAPkwJ
k4ZxgL+d5KMg66P7iCUBYLCRDPPVRWeXz9OQ3a7srk02RajJUGptJHHPDGbXoVmxepvtDCd8Y+fm
Q1+SqFTXpmK1GhXX9jR28NeJRO9Ub+80IvTvwhg22rOe2EP9sEDlISMe7rSvKTLhBRyaiWztjZUO
xX2C8+hc1R7mf4U0fzOTskVy6JLs0pwkLT256lREcxGkGPmwg4f+vu8GTo+sWtxdxNt53boGsKTJ
Jq58nOmNNmpuWDFqQW7VIloRYFikzHIa51K03jHPzftagBqxGE9dkQN7UYZzwRgS4XDk9RhpYjz2
TeOF+17UxZYPTBV4pWzJDcmQjlDhI7IlM7vsi4sFluJeOYY6F4xMt2FFTzfYqt7PZjSXx7kEsIJA
cWVn58tD43DzTzp+pm01n9CruKfZVuPnUlYkemEwQw5nVeF13WryrvIKk7q/XYkPAjpsaC0PZYsG
cwiSqfKMbyCvJNNwnJPGsh/cLqUsL0kk3gqnsmlGbBDjG8wM+r6xSu/aj3xhBBMqhZmmHXL3oTA7
OHPKITatKCnGEklI+FzgPTRYbnGLJEYR9xtv6awRzUHiXKqsFRzclGKBkS10sQQccMCizM6uDZ1Y
tcEQdZ4jhHg1bQLIDMaeICwJpWd/49CFjZ3yYc3N5VKeVVj2bvu5gkp53y4c+RmXdZUYZKC1FKrp
dIfXsTiUTeWp6AaF+DhOe9ygYlgONvXzWjPS8rlPk1hTlgy4Wh4uUKIICujP0Ucck2BxtKYzgQBe
w5qmpNRENzUfOU5yjXSq1nCn6SPnSX9kPpkf+U/ZGgWVfKRCGQN4lyAhWuU5/siNws1E/de7xEll
EiYRwr2GPiVqFrQ+Znhfoo8kPJloOMyHWR0/hz9TqlJtym2xhlct4+SOe2QzZFoNTYw0QPZledZr
6FW1xl8hfCcJa/IIxWo/8rGQas4v2UdqlrMGaDWxbe7yNVSriYnXctegrX4kcsuN1/QtfgBxtYhu
9f8TzjWvMV2JLutbt2tLuH1ripdq1kQvFIyke5GiARF6jfyK1/Avr1bg30l4UeRO9uT8SEP2C35Y
QsP6j/ww1lRkickPJoQgYIwUmPK2WUPHFAazWI7OjZ+O0WP4EU1GUwkyeQ0s+zjl/3sh/m8XosU6
/O8uxMf3snzvuvf33wsNrZ9f9ctt6MlProN2AFvWx6X2y03oC4IsHQt/k0eqBkHqbJJ+HYG6nxAY
AtiyTbQc6+T0t6vQsj9xQbqwvnyWS+tF+U+uQlv9ZRWPaYtbEOa/5Qq4WtzUv9/5K91aRjw55ckg
HFHWB2DNUToG5OZOJqGFDB64oJQ5XfYmAI+iwysgO3LMIT+rY1PYCauIEDMKc1x53cF/YgctssBl
iLiLIheQ0NRaPBvu/Mp5RQaWthzrix+V8mTWAg6R7zDniiObzaz6PpR1fxqtLjrgOY52LgXxVqLC
3S6Yyw96FAAofdTOeIzmbu8wptnmpZdxMOrq1cZH86Vsu+I0cDDuReLCX8UcL3q0QWOaRDeyDb1j
qZP8EXU8yn76PFIjQStUr7EcmoOJI/gMtGWdXmCz+Rp6qo4JVUE3uSnaKLqqMK4/ZWnvEdC5iPth
ak14xOoO8bF/JVJk414BDYRwYtwNtHXHRQ0jsmSaDyIV2kPLSXycEht6iaXvqrrCdYMHfU9OL90f
bdBNqfxzVGY7CIjZLQAdqvGQQGa0el4AOaDaDOChHto1QXtqbLEVi21f+gTEn4ZuMY6hsTA7JE7j
zEK4xuHTwHU1aNFWIuhV48YqDhrPAGQ1IZgg2dwOTDx9l1FYOAeb8JW92VgO37Vb7urR7K5UYtBj
DeajOxfzN834Oegm/DChyrq7JaNBmbSb792hQnxez1gwklR9HajnQXa+iSLpDsAM0uMwRhCETD98
Hr2k2nMAut+9xM0063IzvYqcYt0c1QRnz3NfBF6Rj7uEGfuRdrXdNy5DNC3WBGDgEGv1kHO1tv5X
ry2nH0Cp/P1CHqjH7KooA54b+85mA5Zf6rR+QgCePnnsyb8Y6F5QmCyOuDIqCFTeCqOsCsEfOfHj
OqhB/2xcM4RoxQz0HJJifGPJsbrKJ/kUY/zpNyiOmqM3VNndXDUElJUAcUwU3xd2k9Dek/qVttuE
Eaw6DsaQ6D2gdjYHPhc3ToWB6A7mGvu0NEefSUtr7WO7hs5N17iO4sziqAePodPiOxFMpEEQNG+C
L7NwLpq7tImwZ7FF3szmUoA+R07kNNkmBpJ+1brmlypvVHgJ9XmOL3BfvLhJq+6JAjhg/JfGqUsG
OzQPec8EREG+mUr/22LrBmFxqBcuy7m77QbTK74hX6LlJoEes2A/PDmY2W5b+BIMCnKwEHbYsU9s
BxlEeemfp0qZEALCDuRVTXbDfT0bRTptucqjY21TzDyZORTjeeeIjDCHXUl6mTpjUPQ6Y1c4KRnt
HJS878VYL/vQTdkl4M8IxeclbqZ+K2ojum60KtQLdYbZtEHnaHlXUkqG39MQiaOD9WXDCceNaBtI
ieja+eQ6eBh93JJIj22ZQVbK2ZiI3k+/kgavjaNXjhj1nSqfjA0UN1LtR9LwiBCgNQZUDt3tudAQ
iTPYK3xSBA73k4x7MW7KBgY0KAn7O9P3PjswRR9Z9miwBzuo9z4VG3sHPyidNQAEU0PrIikV8tGK
FihwWZezwP8g73L28Yp9BvJzY/od8UeQhFLMZYlfVjfK02blbjXFi9VfZDgmxa6CkbiJ1KyiAD+F
ewM9aN47NosVIfIRqqfDe8wgPdSP+eSZF9TtXUtl2DYYugp/QthpuVelbzcn8OI897MT7hycOj3a
JcLvBmnGB/BU3qEiWP62NPPLBRuk2rTSqUi2XTFtda2wqPcgpDH4KB4qcP7NbigHiSnQNc+eag+O
Uabrs0qZKSM3CdqIRIe9IGf+QeV1Grhmt8itNTnGxjXKEtEzYezeqNjluqyfMMybTKQs/wKTrrXJ
SZjdZbMdIQNibgZldsjFpugW/a3RzVfuqPaabaO7n1SImwo0AaRp0YiHaJHhfsaa+uTYUXdnYxLj
coAGnEequ6l6z6BA1OI8liL8ttCyIu+Tu06h5+boDI8F3+o1UzLZwb3yPo842KpNH5r1MXWa+UIt
arlCmuNBMSYHuJ50ynjLYrrZVKAHyLBl2EG8Ri+WlHFSLKlVR8sOUoZat4jd0iBGMN7lZf20qKo/
aXccDrItlwNpig5Ju5JN0NIZ43aiUblR7KDSXQv6/yKxOOJ904Ln0GLrRekyPxAU4mxMcmTI4Qjj
21pHBLnjBwjs1I8OLr8AhmX07hvcoDFH42K/WlbTchc6fv1l9Mz+il5HvrNQqPZOv1hBBsvv6HaN
9WLMvJ7pV9GuBju3B/NcB23Z59eZmJrngefwijl3e4t93L9EP1pumaell4wmkwON4nidQS7bOkiL
j4TBvzWenVxqTD8vIfuK6zCUPt+kc6kEigXDngeCrioscgxm0OTbhCf/1gFFf/BNt/2CfBDMoZvt
LGa6d+g+Z7iSheeeiA7x7zJ3Va7Tu36dYK9s6rkQQQb17hSL6AWdh8uEjbF0zhB3JTFYmCoyyORC
Gq9zGYrAxgJ95SSJAKzQ0dVw+wPdA+63s5kSI72R/ZNhDmQ9DcDdu40NutvHfEXaxezSSiIm3TJT
xyRXRiYCssJD07oRmSsjvpuYvMXyeKjbsYcZnjhfzJnh1mwzdtwokXIStKApEPWPLJPUAxBqL+LK
i4okih87V9fJ3X/r+//ES8R5YFJc//uB11P/Jf5Daf/zC34p7eEefEJBgF1H/CpI+G3QtSbUugik
gSNAeUNl8Ft5v7qIADnID2fRr9KGldMgiExiGoXkAdP1P6nrP5SSP9m6p+//7//yE7HvtFChrfoK
08fi9MeynqwdzOoa4I1fLsaSbYnt0noPnocLrbCJxZgxUG+B/9cXnWOzM9aaWTsVzO0H/7tdseaM
dtF9DQMhMIkko0Br57bgyaeEAmINjAVROwOBcTkWhQvYlWGGnslcHfwRd9VTDD+wqOGNgxqBsQpm
ZiPy0LjxC3sszkwdGMRT+MjKY3KlNCzQCb3IPJ4iNcgkPIUYGlMsGl4zPkAfF/aDUVJnBLUdm3YQ
pVPLEw7a17rxiFDYCl6WQ68WLo+JyTMf2QtjMELcySiZ8uQ6LIr40EDwt7ZT6YaPZWHGj0tfWUd+
KfwVWKK+TigoH73UbnEkF3FKjedc96SOnGC1R/u4CocvvsR2SJNB5UuMOBk8lP1bvxpZNaI4W5ik
n1OWKI6Cg57hZsduIsbmwlQfubHpmiEbRxnpsfNEisouY/6hHwwtB4JmRZSlq/uxdkx1MJN1Pj/+
DKeVIgrleg5lI3F+97gsk/aqnruK7ockKhPd6+m/J8J/dCI4wkQn9O9PhOf3tqjK/g+Hws+v+VX0
JD/RZ+MYIC7uA9dHY/+rsdCC4WIrBFH2zzk2r/RLz2+TR81U2uQi+G1S8MvZwHlBlia+BxtgC8p8
jpJ/IHv6k5CbA4nr11f8hIwjMDn+SWTtSSDFCCkwbcHSB6IcexsUetbmd+/JvzC/rHOD3x1AOCQl
XgKXkw/RLe/En+YK4QBQy6KCPw4pER3kBvnexpvD6q3sCW0qXFBZOVS5dlctff1zWPVvoz7Xv9df
XhwgA6po3jbFm/3H0y9283y2Ms8/RrZPUIRqu4mJNZKsgv7jPsXK/yXibPI3XZlYOyrI5H02mAsG
butaOwIEwWKQyXHoRzwmVmM05yGj9Oq8FBFsmoc4s3XLgjSKlitGDOF9Aa529/dv4L/8JRSHN6NP
LgXzz7R10do1uJfFPzYLp8hMkPW+MAqEQ2rST40F6DCUGRkeRoEJS4qZcDUfx6JTAWnZ9kRwIrYi
nKrqPOqakSgxEH/LfmRacpqRiu69Ee1BkQxoRcsFf5ZRsFH/+9/hL/pVPgSeAmfJBYkc88+Gks62
kAqpyT8ysJ52raCqm8dWs7dPf/z9K6332Z8/blzCmJ+Yijl/GWM5qFs4xXmlkYQgTEINfzzXa85t
bzV3wkF59fev96eH6OPj7QOCBJ5k8yGz1k/g7zxBpuxInEEiexyjpL3jRKEfGWDS/f2r/Iv3bw3j
tCgIGBD+JbPWbzkuaE09tORTwiYq/VFbfnLMOu/x71/I/BePq2MyQlc8eKy1/3wopBF+jInP4BHL
Sn5aVAeB2Oczo/WabFYQ04W02IXLW/XZvR7J/K1zam8bcd090wcku47T3LUgysFCjGxma7kCPEbI
LsdoJYhWOayxhM/m0xjBPSI9QNg0semExsmOeJG5XiG7Hp78znS7l8ldkuPf/5LWhx/mD58Sb136
8Xaaa7KA7/xp77cS7HC0tvNxAutA9h68XOaY3clYGbpVBk2XjMMfc97C111Ju3x40yM84mGPPAMO
b9221/UHnLcH09u4pXiRZpZcO6zF39QEzZeVASqMyXyQWCqp4qdcblt4P4+myPx9DAFw1690YEIM
mRyuxGAIUpL5/RvHWXZ0e6jC0WAiU19Jw9wuJIxBdA4s+ucjTBoNPAM2MRWQPHRW5T22K7k4NYgu
K2XDDgn1wbeYgTKj2gwfSw31uM7hLG/GlYVceFCRxxACBsM9G89vPWxdREb5tpcgkjKAVs89cOV8
pSyXK2+ZrlB/1/CfUAhCY46y3jo4oY1iNXWBaywICXbGSnB2Yks8sjotXlQUZz9qGVfzJhM+U2O/
RQGymaq1cCzj+VXBJd2plRVNpkV+SnU6Xy6N7964K1O695ISAHiRTDfw1lElpWSkCTDURE+mZD5m
78ZKqDbY3kB4SNhDqfZMBcpP7cqGkae/umHL6yqsyaeYS0ww0crBNlR5EHV6ub6fqCRSFkcrNbtb
+dkSpjsRUNMG56o4EVxQXNorb9v4QG9LCJvXxEbTlul1DyO4X7ZpAa8b2693ooe2vrTgjG5hXHfl
qacUxQzfWY+ZvYdAxidi5YAPjWV9qVY2eBabBr6N2Ss2lVm2T6Xuhm2VgboYQziF3coYn4CNx7F1
Z4aw/jnbxhOaH02q5dx7GAvN7/SE5JO5sr7TbX6VhCRyoINkgBXlA/kxkM5pmodtK8S5NgnlEZFN
vKg/Rw9lGl0hNXyLV2Z63PfiPlw56mnrvmgcBSYryh2SyHRrrNT13gm9vdW28lLNwwSeDDp7NS5w
2teszSFtDBZVUNzVynP3VrK7LD4YIdWqRYT7nsGE2uqVBU8ktOaHgQ8fg9TeorYGGt9+AOS5jNSO
ayjbg1938apMSbIbIqjzbdcZFwSQVZf9yqRvZ0d/SfGnA4bsFBvBD3y9MNP6ZvmA2stOsuLW0j7F
5Zwf5Uq/VxWPi2vQ/7P4bMyFza4JoGrDNBwfcR+HW8ZD5bd2tKPXNJTDd1d1+tUa2+lMoPp4ykYf
UHhU25etMABVMqzbonkaT4Pk+TJ0BlMo18R7bUSqOnlCQa6WZicbtwgKEaHrM5b5yR5FuWdzFBP9
CLnFzitY5RoflG/hgJBuU14mazBmKQrsi9jGL9NyyNB9unNz9muR7dxq0AfDZUjddCKDij/qHyMa
wupaaPRv4Uo/XkY4lm1lMokCWLNLIm4O8tnWWdhQB2KczIDfuD0rlw38hGB1Z8ZCs19HMbf4k31j
8qBe60Q0wy4Le3yuAmjMOyzjCXW0WI4aau23WCFDhdKpnj8oqCXbn0dDUF/kVR3fZBhhkfJQ8lWE
D9L9sSnehQRmNZsB/2kwEyhxnyMQfU1TK9tlYpl2P8M8nRpxZyat02ST/lADZXom/AkpbYKweTFi
ccxTm7On5ZcEqL9cuXkFGhauwJHk1PraipfwrDrMOXqy0JS7lpNh2V3nZO3Ibw6X78YXxbRzBssM
EDObgc1U8GZRddgBqFr4GtPPQba6LjKwlkCuKRt8cRjHnl+JBQKjWhbk0bbPUidAjOHcSA4GknJR
Xda9uRxF6uZbXw3hmVrF2dah6yPdytvz6PJ5lVasf1ADj8/J2HKuV2ZzTjUwuw21jXmQomgO8Omc
C8JCjHvNC8Q7opcpL9Be82Pr2HmbQgceERbk/l4oUiRgdQ73rUAd3KpYvgrPucAslh7U2FSHLjUx
91EvWhfOLMBScSjIdrCuof3Y+zpuZqK3THc75inQUSuMg6pkMxSuWLu+J288m5yAkS0Cs9JHWBhH
46GtRx0fePuJmWrBLcWXNMTNyKcZc34/l5C0+qIV+CNQU1767JZqTlZNVAVSUTu+nidzLpb/Nqzv
/1HDSl1NOffvG9aX967/P89JG+FO+aNo6+dX/tq2KrpMjDqQL+hDaQ75pr+0rR4xUnATPZtNsfwl
l+rXtlV8orvD4uOBeLE8VsH/s6pWn+hZ3bWo9MU6hfL/Sdvqen+phi2XmZm9rtKB6Ft/5ilE2p5y
7q741BVquKi8ErIjDtjuwtKEu7C94OzMBkvedxI0VRExZ03mZIf2ZDpmcWukQYiZdd/2fvsAA9vg
3M3954Rd4iH2jTUnZPDXdAdyfAa36FkXZbFzghOj2v2QDiGja8OegC96DohnO3Pc3ehzfjp1MZO6
SqK0lw2YZHTUMoLyoidEnHgYRqcNt76bvvrT9Cy7HIsn6zP9tKDvQEKZ630yGmLXw2C+i6ZKnvuq
ZHxPaM8UkCSZc6QbYXPvsKa75EswArRCjYe6Mu6SsE67XTyn07G1mupqmXS5mTtLvCAJGi9SS+hH
yhhrr9suvmW5BFTDX9bfPCc7IjALN0F6k7K+VZCHN/Gki4codpy9ac01UlD+WYlGXhCM+IQ23FmX
OeOVZ2uax7zfGo2odhF+DFDBid0/ZHWqbsNKEpqEmXHeVC5bt32lB37j3DOWHds6H6rHyNKZid7G
hfC642dmht/19taumHibBhP5cLZehiyrj+wxiKHWnItDfBN5C+Ny+Pd2vlPUYVvbmewNZsXFpjYg
TpN23kVF5S49Mt3+yHqzf7I77iuCyhcZGKPZwi7TFmLdrnT4ezjD5eKZxz4VnzFXOEhvwaNx6T2H
Jfsg0N9P4Eht7DuifCO6R59lXKtNodEB4ugPItk7uzyNovvOhqu6G1WVX3lpAeekjJEz+3kRq01d
VC41fefeZhbxKgZpZp/DNjTvNLyHwEEZcamX+r03QSBRzixuEDYJYX1T2p1nnx4ida0tWIwZvxF6
51y6IXs2I7yTVv+KIqDcgoLPTohiw+hi6tkA3s1k5TZfECx0b2xmkJ/j/rhzi9q5WCc9D5mL5Row
93DpwF50t/1Y8JZNddFeYYp5I+ZxuDYA0VAkiXe7LGhtJgwWBaI68kXsYZMnlrhh4Cm7XdFq77NH
Jv3jYqzy4THMA5coHUzBRG0XR2EPTspGF7EV25ZpeovZf4odJL6EAQraYpqEtJXw+bUZOIrVP7nH
o7gbqwVuj4jFZd2Qe4c4X4d3Y23eTo78vHT+Z9EO1I6WH7RKMGb23YRkHZuCrj0A4DAPIjLdF2rX
xyis3wWoSuwqbB0D7itBlOmI2STO4WmWvrfihVwTGAVnB9+BpAOrixGzJBd0kdNpZlVE5+vaMWmL
UTeZV53fLdHBC2HbUCPUn4vEqLmBiWjhR+r25AOFt5ggKG6brL7SozXuunVHOwj/wLo4PmVoApo7
E+J/cRxCiYoOAVp6kVkCDm7S1XRfEOSdq86xwkBZVXwialkGTd1PcHSg+cna9V6IItPOpl8uSqGM
YwRb+ZARfURlYBp7J8Se4gs97Us7JXN9zrNXEuD0rsCVckFWF3HyhG7VhKCTsonqdJO1qXMHozoL
ahdHgsswfOuNFOppU1CkZBaqu2FAIgT9YTvKIrqaRtx82yFdlscmF87J6b32akaT/jyhTx9yMBtZ
tCvyjtSbJKq8gA1asU/rC1fPr2zMiW8gufU0Y24IHP6vi9xBpSJzi6QBxzaweTTo/ATFGjqqE3Bi
j5Oqbe4sv7UeGQSx5HaJxIwdbM9bTbwGOoewYg6fZ9nnJUVnas+KADNbMt5qxzfaS3it4wCbGQJj
uzexmWL/G6/zJdI/GA2AHB2V2sdOZOcbldQAg8Lum03A047MKZb6sbuy4imlT2Ghc7LT1wS5fHhb
KQn7qc/HY7k0E09pCLl909fTRCdeJP03s+S2CZStuksCvCABR/IhUgxcLKMQFwl1HJFvXnrIFTYg
ZhTHribmV3LBBsSPadaVxnhE6S5OQq9eSZ9EMHeyZ9yCnrhwe8psbmxv39XCBBEv/Yu5VAkJ8fl9
uErsVRepw1T70N/DldpG6Hm10Qy4NmSJ2lsoa/mOMVdDzji2DybCWbMTq+iDvEDspKbeOjyiV3Ed
kUOKLWCb5TjzoYf5Owch55mRW7ifhuZiLoomEMvcfXeqdgaNUk9BSpTDZW/RLy6DHZ/aBeGO3xen
yIEV6hOvNWTTV/ZSQyCIagdszHUD3vTktV10ZHljAYjwrkdmTQwnsAEVJgiYYXTuAKMV+xZ8a6TT
+0F0xt0Up7eQtRDvwJ/jacyvI1Us+xkyOFdjEjm0I2Pn7p2la6G7IUTbOOPQb1vq0yc7Iwh+Gnhf
7xtyB1yiNno9XAEkjSoW3wvSZLYyhIL0wtIIdmzAaYKEKm8RQRz69fJQJMI3XqfOnPUuUcpbcG9C
iyGEuURBDNc5z1G69VLqY+0kD45agzSWj1CNDgHG9ZiRs86MB5skIlFiBwRxGu/6I5cDNW5zY1am
ERM50i4vVj3ML0Ul5rNasz2GhpSPRhvIZcZCQaSTOhvPdFoTR39e8h6MMRkha1qILDgxPXDcX/Sa
JcIaIj0zoR+sDYun4t5bBvAuouh2cKACbE4TlLU1m8T8/9ydb3OaWBTGv0pn36cjgiAvtjMbExOT
mnbb7jbdNw5RKggCckHFT7+/i5IGTUyay8x2lndRc7gc7t9znvM8+cmFyNArEUV30QfhDN0WNXLR
6Txieg0WOg6iCm/dJ8s+/RuceAJNCIfZNAkoK7HnumTgk5IpLRjbCAjlEKWwunE+iQl2X6dJPvfO
s3ZKkpECj5zzIytXq98BAwZNUuGBjBIWFOKbAIXnQmhABDddscwHLa/Ir0MvOCGUJ9VeEASGoYD8
qP1B65yYWS/ONgu/T3ESzH9dBCfPPD03zwIgu99EZwZb2XrWmv3Z9dLFp5lNeOHUNgufsj/QMYLC
4X5KAvhyU6rUkH9bolhTpJZADRshmxDqkbORFLeZlzo3ENcVt5ChGX3gjxd6NsrhbC/FcbqILZwu
EI3vCamdM6VOGvi4L6bnOoCpG6OQ6snsgBbUDQEbHRhSi4eat1mPvOYIGulch7I2KYV7RJC1KHfM
slsm7w2lfMKEaVG7A20VMLDRNj7ljSI0EQZoXQKACmC+y/JZcZrmnXYvg+sm6RmmB1ncQnQ5KQde
fg651hDucAoNpQrRKrc6A9OT0kSRTh2TKAWLRCcKLwwJ0EL0Q7/qltJGYWQUE/R2vH9s9tx/gRW3
rkcG4CSJAbPeCyouzLPRVJvaQ+j+9B7lO7eZlJcopNCEOUVyIpTiE+11pzVI28UG2D84/296YlBf
LLrotPu6xTwQtu1hSJzNbSNW2CPOrznMp/6VvzqBeBf86e0SIGsBwHJujfonCzCEZyBvwAxyIiXT
kemfci3WqW9aweNaWMF5YFDvb68Js3XWyyVi3ssVNZMQQQpwa6dos657sw7E3DEAc4cqx/UCmsXY
6Gt+TIV1oiUQ3sHk0pvHa8jtR9kCTh3P7LeXLWvSJgPzPhH+5qYLL9/nZEXCusd8PvseZ5r4Yket
8HaqtVAignrWhhZxOrqCZql1hfzWom/RX69bi6mJPF5GlTWBmEF7A/v5yQbIFExlyXkRWRp7fzh3
O4ib9CjL8gKm5nnUXyFJdTELT6LBusVePKGy/Uuchnr/pJWeZ8li9sGfph78M/Plzcyy2tdMEksI
YzwGiwXWUCCbMNRlhhtRKZCkUqi0MLQ5gjDLYgFqUkLKUmN2nfjsUZA9WLCBysKxF5idzSWk5yuq
1nKT+BQqPyD4vW4vCe31EJ2ktd5fpUbcLw+1/xuI+u5BpC40GlM+tL+5mxafXJGHmajyufLbj7Ef
ZV/i1/3ouKE3L4oosO2R8me1iELZqLLFx2yEDg+WT9DJNlpQ6BJMIOOyvUiChzEZje3XnOLektOC
AcICdS6vbQjjgZOecsPxJ9z68/hvjj3B1kEliIbkg6ITEF9B4RkvaGj+yWvPCWzfkGEhG0X13NYL
D7v8sb5w/AF/2gnjOI8y2Rmnfhw9RDbAxfYyH+xZ+NERdPtth7ysBdhg6wN61sOOYIOg0qhogOx4
64LtDX+hjgAc4yDA9orhoJGTM+GQfNQLXRv26C7RaJLX/2lPeFLfXgMaT2xPaVJoQwck4SdEf7bX
3nggzijBwgaF6fde4oa/UF8At2vSaCUvAOdB4b5tQIdx/5QPR4TVeUtgFsovopzlBdjh1/KCTrkv
0VklL+igpAgYUyYM7EBee32BeUHHQywQVCjJ6ycWiBd0mPsVt+f54aRca31XPLYkP/WDago+/H63
vshFRM6ftR/KerPtvX8sxe9qg67s7g++rLp/eZ/dv+8e8PDWtXtVT1V9eOm7qUNurii/KHbNvHHm
rNd/hM6dU5cf470wV/9oye+/1dr54P0/Y1gETmVH+gSoJgXZynbRJIrr3GOUsdEr1Q0HTiQcUVkq
mwyKt/r70YrB+6FwzBU9J4SnPd3LwnTKfYZqq3txGKfOpCY+TLk8U4e6ZSocx5k/zrPKmHQJx35G
pKrxMzd0Vk7qVpakZbQPGnD2mS+y1B9nb+Lvb3BOPr+rJ79gA22gF5LPTv1JvXtvF0pVz1y4MRm7
umVWBXZHqpYv8bjvV3bK7q2XPAyqhgcTJAxrdg1La2AKGaCPEMV+fURuN2XKTY4myAnUvQwNMRsd
Zcvxas+s3QVvpmr2+nBuMrW21oBhWpaPg6KyVPYLEy9XH7x+3nsfg8U5cLPNLk/d9tDxo9rsIWHS
DbR56CDUu68fA/lkA69w6AjhjL1cuFlW69NQkRhNuMQfe/7UqZ/jOGo2sBYMfVntvsf9guCoJFVW
7dlDX6CfJigaq81NlB+3GrIe5+m+6UYaTjXA3hzS1mBlV3fJjXuXOnu7JyC/ACmUvX3jLp36ugVN
jt7A9unGXb25dOaJgDOlNjCxbzcweqT9KzcVblE5Qc5UnMski49qH5TGh+7aH9eWMYzLo28Txr/F
aVBZ2rVbnieVTUNF+Dgfb1s3JUV5Mzc45H3CvFQCUDWPVnrd40ZJ2qRs9oio8tPQqhft5T+kLhqp
1ZOXr9LgxF598PrF8iOEIgLAn7N3TNgFZVVd8pw2mqJbPj9LDN3IDQ47YkVApmj+KJ2Lsu11/VS5
C6OovtKnSlQVm3ukzk3V8mNYxA5k3+qj56vDugNpZX1oElY1GhiazwIpFf3y1RfjGJxwbVrRTWiA
GnBMEc9xTGVITliwCLWfXTMfizTdR2QP409V5uGxf6sH1+QvxqHrpO/+BQAA//8=</cx:binary>
              </cx:geoCache>
            </cx:geography>
          </cx:layoutPr>
        </cx:series>
      </cx:plotAreaRegion>
    </cx:plotArea>
    <cx:legend pos="r" align="min" overlay="0"/>
  </cx:chart>
  <cx:spPr>
    <a:solidFill>
      <a:srgbClr val="181824"/>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5.xml"/><Relationship Id="rId4" Type="http://schemas.openxmlformats.org/officeDocument/2006/relationships/image" Target="../media/image4.svg"/><Relationship Id="rId9"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xdr:colOff>
      <xdr:row>3</xdr:row>
      <xdr:rowOff>160533</xdr:rowOff>
    </xdr:from>
    <xdr:to>
      <xdr:col>3</xdr:col>
      <xdr:colOff>503007</xdr:colOff>
      <xdr:row>15</xdr:row>
      <xdr:rowOff>139129</xdr:rowOff>
    </xdr:to>
    <xdr:sp macro="" textlink="">
      <xdr:nvSpPr>
        <xdr:cNvPr id="22" name="Rectangle: Rounded Corners 21">
          <a:extLst>
            <a:ext uri="{FF2B5EF4-FFF2-40B4-BE49-F238E27FC236}">
              <a16:creationId xmlns:a16="http://schemas.microsoft.com/office/drawing/2014/main" id="{B82BB93F-FAF0-5FE1-B7DA-42F81FC54792}"/>
            </a:ext>
          </a:extLst>
        </xdr:cNvPr>
        <xdr:cNvSpPr/>
      </xdr:nvSpPr>
      <xdr:spPr>
        <a:xfrm>
          <a:off x="1220057" y="973904"/>
          <a:ext cx="1113034" cy="2290281"/>
        </a:xfrm>
        <a:prstGeom prst="roundRect">
          <a:avLst>
            <a:gd name="adj" fmla="val 5667"/>
          </a:avLst>
        </a:prstGeom>
        <a:solidFill>
          <a:srgbClr val="181824"/>
        </a:solidFill>
        <a:effectLst>
          <a:glow rad="635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588624</xdr:colOff>
      <xdr:row>3</xdr:row>
      <xdr:rowOff>160533</xdr:rowOff>
    </xdr:from>
    <xdr:to>
      <xdr:col>5</xdr:col>
      <xdr:colOff>588623</xdr:colOff>
      <xdr:row>15</xdr:row>
      <xdr:rowOff>139129</xdr:rowOff>
    </xdr:to>
    <xdr:sp macro="" textlink="">
      <xdr:nvSpPr>
        <xdr:cNvPr id="23" name="Rectangle: Rounded Corners 22">
          <a:extLst>
            <a:ext uri="{FF2B5EF4-FFF2-40B4-BE49-F238E27FC236}">
              <a16:creationId xmlns:a16="http://schemas.microsoft.com/office/drawing/2014/main" id="{8CD11216-3028-BAAA-EE5D-5574671D6A48}"/>
            </a:ext>
          </a:extLst>
        </xdr:cNvPr>
        <xdr:cNvSpPr/>
      </xdr:nvSpPr>
      <xdr:spPr>
        <a:xfrm>
          <a:off x="2418708" y="973904"/>
          <a:ext cx="1220055" cy="2290281"/>
        </a:xfrm>
        <a:prstGeom prst="roundRect">
          <a:avLst>
            <a:gd name="adj" fmla="val 5667"/>
          </a:avLst>
        </a:prstGeom>
        <a:solidFill>
          <a:srgbClr val="181824"/>
        </a:solidFill>
        <a:effectLst>
          <a:glow rad="635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21405</xdr:colOff>
      <xdr:row>3</xdr:row>
      <xdr:rowOff>160533</xdr:rowOff>
    </xdr:from>
    <xdr:to>
      <xdr:col>1</xdr:col>
      <xdr:colOff>524411</xdr:colOff>
      <xdr:row>15</xdr:row>
      <xdr:rowOff>139129</xdr:rowOff>
    </xdr:to>
    <xdr:sp macro="" textlink="">
      <xdr:nvSpPr>
        <xdr:cNvPr id="19" name="Rectangle: Rounded Corners 18">
          <a:extLst>
            <a:ext uri="{FF2B5EF4-FFF2-40B4-BE49-F238E27FC236}">
              <a16:creationId xmlns:a16="http://schemas.microsoft.com/office/drawing/2014/main" id="{9D96EDFB-2DDA-D39E-3992-132C48A88A7B}"/>
            </a:ext>
          </a:extLst>
        </xdr:cNvPr>
        <xdr:cNvSpPr/>
      </xdr:nvSpPr>
      <xdr:spPr>
        <a:xfrm>
          <a:off x="21405" y="973904"/>
          <a:ext cx="1113034" cy="2290281"/>
        </a:xfrm>
        <a:prstGeom prst="roundRect">
          <a:avLst>
            <a:gd name="adj" fmla="val 5667"/>
          </a:avLst>
        </a:prstGeom>
        <a:solidFill>
          <a:srgbClr val="181824"/>
        </a:solidFill>
        <a:effectLst>
          <a:glow rad="635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590550</xdr:colOff>
      <xdr:row>0</xdr:row>
      <xdr:rowOff>57150</xdr:rowOff>
    </xdr:from>
    <xdr:to>
      <xdr:col>12</xdr:col>
      <xdr:colOff>561975</xdr:colOff>
      <xdr:row>3</xdr:row>
      <xdr:rowOff>104775</xdr:rowOff>
    </xdr:to>
    <xdr:grpSp>
      <xdr:nvGrpSpPr>
        <xdr:cNvPr id="9" name="Group 8">
          <a:extLst>
            <a:ext uri="{FF2B5EF4-FFF2-40B4-BE49-F238E27FC236}">
              <a16:creationId xmlns:a16="http://schemas.microsoft.com/office/drawing/2014/main" id="{7A6E9DB8-7D88-DDC8-8D20-83F5D70435B2}"/>
            </a:ext>
          </a:extLst>
        </xdr:cNvPr>
        <xdr:cNvGrpSpPr/>
      </xdr:nvGrpSpPr>
      <xdr:grpSpPr>
        <a:xfrm>
          <a:off x="6080803" y="57150"/>
          <a:ext cx="1801509" cy="860996"/>
          <a:chOff x="7581900" y="9525"/>
          <a:chExt cx="1800225" cy="838200"/>
        </a:xfrm>
        <a:solidFill>
          <a:srgbClr val="181824"/>
        </a:solidFill>
        <a:effectLst>
          <a:glow rad="63500">
            <a:schemeClr val="accent2">
              <a:satMod val="175000"/>
              <a:alpha val="40000"/>
            </a:schemeClr>
          </a:glow>
          <a:outerShdw blurRad="50800" dist="38100" dir="2700000" algn="tl" rotWithShape="0">
            <a:prstClr val="black">
              <a:alpha val="40000"/>
            </a:prstClr>
          </a:outerShdw>
        </a:effectLst>
      </xdr:grpSpPr>
      <xdr:sp macro="" textlink="">
        <xdr:nvSpPr>
          <xdr:cNvPr id="2" name="Rectangle 1">
            <a:extLst>
              <a:ext uri="{FF2B5EF4-FFF2-40B4-BE49-F238E27FC236}">
                <a16:creationId xmlns:a16="http://schemas.microsoft.com/office/drawing/2014/main" id="{31470EB6-4223-1BA2-B64A-603BCEB44B80}"/>
              </a:ext>
            </a:extLst>
          </xdr:cNvPr>
          <xdr:cNvSpPr/>
        </xdr:nvSpPr>
        <xdr:spPr>
          <a:xfrm>
            <a:off x="7581900" y="9525"/>
            <a:ext cx="1762125" cy="83820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6" name="Graphic 5" descr="Call center with solid fill">
            <a:extLst>
              <a:ext uri="{FF2B5EF4-FFF2-40B4-BE49-F238E27FC236}">
                <a16:creationId xmlns:a16="http://schemas.microsoft.com/office/drawing/2014/main" id="{58955A54-0983-5025-1CDC-595C31E88F6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58100" y="85725"/>
            <a:ext cx="514350" cy="514350"/>
          </a:xfrm>
          <a:prstGeom prst="rect">
            <a:avLst/>
          </a:prstGeom>
        </xdr:spPr>
      </xdr:pic>
      <xdr:sp macro="" textlink="Analysis!A4">
        <xdr:nvSpPr>
          <xdr:cNvPr id="7" name="TextBox 6">
            <a:extLst>
              <a:ext uri="{FF2B5EF4-FFF2-40B4-BE49-F238E27FC236}">
                <a16:creationId xmlns:a16="http://schemas.microsoft.com/office/drawing/2014/main" id="{4DA35A70-8F3B-653C-EDDB-7D5B4140EA84}"/>
              </a:ext>
            </a:extLst>
          </xdr:cNvPr>
          <xdr:cNvSpPr txBox="1"/>
        </xdr:nvSpPr>
        <xdr:spPr>
          <a:xfrm>
            <a:off x="8162925" y="76201"/>
            <a:ext cx="119062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E1EC179-5CC5-437F-80FA-0BFC41F61E61}" type="TxLink">
              <a:rPr lang="en-US" sz="1600" b="0" i="0" u="none" strike="noStrike">
                <a:solidFill>
                  <a:srgbClr val="AA3D4F"/>
                </a:solidFill>
                <a:latin typeface="Calibri"/>
                <a:cs typeface="Calibri"/>
              </a:rPr>
              <a:pPr/>
              <a:t> $9,81,140 </a:t>
            </a:fld>
            <a:endParaRPr lang="en-IN" sz="1600">
              <a:solidFill>
                <a:srgbClr val="AA3D4F"/>
              </a:solidFill>
            </a:endParaRPr>
          </a:p>
        </xdr:txBody>
      </xdr:sp>
      <xdr:sp macro="" textlink="">
        <xdr:nvSpPr>
          <xdr:cNvPr id="8" name="TextBox 7">
            <a:extLst>
              <a:ext uri="{FF2B5EF4-FFF2-40B4-BE49-F238E27FC236}">
                <a16:creationId xmlns:a16="http://schemas.microsoft.com/office/drawing/2014/main" id="{458D70FA-EEDB-9BBA-ACF4-396E84898A20}"/>
              </a:ext>
            </a:extLst>
          </xdr:cNvPr>
          <xdr:cNvSpPr txBox="1"/>
        </xdr:nvSpPr>
        <xdr:spPr>
          <a:xfrm>
            <a:off x="8181975" y="419100"/>
            <a:ext cx="1200150" cy="2476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AA3D4F"/>
                </a:solidFill>
              </a:rPr>
              <a:t>TOTAL SALES</a:t>
            </a:r>
          </a:p>
        </xdr:txBody>
      </xdr:sp>
    </xdr:grpSp>
    <xdr:clientData/>
  </xdr:twoCellAnchor>
  <xdr:twoCellAnchor>
    <xdr:from>
      <xdr:col>13</xdr:col>
      <xdr:colOff>38100</xdr:colOff>
      <xdr:row>0</xdr:row>
      <xdr:rowOff>57150</xdr:rowOff>
    </xdr:from>
    <xdr:to>
      <xdr:col>15</xdr:col>
      <xdr:colOff>581025</xdr:colOff>
      <xdr:row>3</xdr:row>
      <xdr:rowOff>104775</xdr:rowOff>
    </xdr:to>
    <xdr:grpSp>
      <xdr:nvGrpSpPr>
        <xdr:cNvPr id="10" name="Group 9">
          <a:extLst>
            <a:ext uri="{FF2B5EF4-FFF2-40B4-BE49-F238E27FC236}">
              <a16:creationId xmlns:a16="http://schemas.microsoft.com/office/drawing/2014/main" id="{EB1F3401-B20E-DE0F-6C9F-7251E840D524}"/>
            </a:ext>
          </a:extLst>
        </xdr:cNvPr>
        <xdr:cNvGrpSpPr/>
      </xdr:nvGrpSpPr>
      <xdr:grpSpPr>
        <a:xfrm>
          <a:off x="7968465" y="57150"/>
          <a:ext cx="1762981" cy="860996"/>
          <a:chOff x="6705600" y="38100"/>
          <a:chExt cx="1762125" cy="838200"/>
        </a:xfrm>
        <a:solidFill>
          <a:srgbClr val="181824"/>
        </a:solidFill>
        <a:effectLst>
          <a:glow rad="63500">
            <a:schemeClr val="accent2">
              <a:satMod val="175000"/>
              <a:alpha val="40000"/>
            </a:schemeClr>
          </a:glow>
        </a:effectLst>
      </xdr:grpSpPr>
      <xdr:sp macro="" textlink="">
        <xdr:nvSpPr>
          <xdr:cNvPr id="11" name="Rectangle 10">
            <a:extLst>
              <a:ext uri="{FF2B5EF4-FFF2-40B4-BE49-F238E27FC236}">
                <a16:creationId xmlns:a16="http://schemas.microsoft.com/office/drawing/2014/main" id="{61250405-7A39-D3E5-B606-CE3252A37FBD}"/>
              </a:ext>
            </a:extLst>
          </xdr:cNvPr>
          <xdr:cNvSpPr/>
        </xdr:nvSpPr>
        <xdr:spPr>
          <a:xfrm>
            <a:off x="6705600" y="38100"/>
            <a:ext cx="1762125" cy="83820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Analysis!B4">
        <xdr:nvSpPr>
          <xdr:cNvPr id="13" name="TextBox 12">
            <a:extLst>
              <a:ext uri="{FF2B5EF4-FFF2-40B4-BE49-F238E27FC236}">
                <a16:creationId xmlns:a16="http://schemas.microsoft.com/office/drawing/2014/main" id="{07029DEE-5C69-9377-6734-AC8B5030C5C8}"/>
              </a:ext>
            </a:extLst>
          </xdr:cNvPr>
          <xdr:cNvSpPr txBox="1"/>
        </xdr:nvSpPr>
        <xdr:spPr>
          <a:xfrm>
            <a:off x="7324725" y="161926"/>
            <a:ext cx="1143000" cy="276224"/>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FD22538-EBB0-4715-B916-DB91BBFB954E}" type="TxLink">
              <a:rPr lang="en-US" sz="1400" b="0" i="0" u="none" strike="noStrike">
                <a:solidFill>
                  <a:srgbClr val="E7954D"/>
                </a:solidFill>
                <a:latin typeface="Calibri"/>
                <a:cs typeface="Calibri"/>
              </a:rPr>
              <a:pPr/>
              <a:t> $4,48,021 </a:t>
            </a:fld>
            <a:endParaRPr lang="en-IN" sz="2000">
              <a:solidFill>
                <a:srgbClr val="E7954D"/>
              </a:solidFill>
            </a:endParaRPr>
          </a:p>
        </xdr:txBody>
      </xdr:sp>
      <xdr:sp macro="" textlink="">
        <xdr:nvSpPr>
          <xdr:cNvPr id="14" name="TextBox 13">
            <a:extLst>
              <a:ext uri="{FF2B5EF4-FFF2-40B4-BE49-F238E27FC236}">
                <a16:creationId xmlns:a16="http://schemas.microsoft.com/office/drawing/2014/main" id="{DB2E1972-A5F2-32FC-6439-942EDF29E2FD}"/>
              </a:ext>
            </a:extLst>
          </xdr:cNvPr>
          <xdr:cNvSpPr txBox="1"/>
        </xdr:nvSpPr>
        <xdr:spPr>
          <a:xfrm>
            <a:off x="7248525" y="457200"/>
            <a:ext cx="1200150" cy="2476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E7954D"/>
                </a:solidFill>
              </a:rPr>
              <a:t>TOTAL SALES</a:t>
            </a:r>
          </a:p>
        </xdr:txBody>
      </xdr:sp>
    </xdr:grpSp>
    <xdr:clientData/>
  </xdr:twoCellAnchor>
  <xdr:twoCellAnchor editAs="oneCell">
    <xdr:from>
      <xdr:col>13</xdr:col>
      <xdr:colOff>142876</xdr:colOff>
      <xdr:row>1</xdr:row>
      <xdr:rowOff>19049</xdr:rowOff>
    </xdr:from>
    <xdr:to>
      <xdr:col>13</xdr:col>
      <xdr:colOff>600076</xdr:colOff>
      <xdr:row>2</xdr:row>
      <xdr:rowOff>92895</xdr:rowOff>
    </xdr:to>
    <xdr:pic>
      <xdr:nvPicPr>
        <xdr:cNvPr id="21" name="Graphic 20" descr="Money with solid fill">
          <a:extLst>
            <a:ext uri="{FF2B5EF4-FFF2-40B4-BE49-F238E27FC236}">
              <a16:creationId xmlns:a16="http://schemas.microsoft.com/office/drawing/2014/main" id="{569A3F0E-082B-58D1-CBCF-BD3EDC91852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067676" y="209549"/>
          <a:ext cx="457200" cy="457200"/>
        </a:xfrm>
        <a:prstGeom prst="rect">
          <a:avLst/>
        </a:prstGeom>
      </xdr:spPr>
    </xdr:pic>
    <xdr:clientData/>
  </xdr:twoCellAnchor>
  <xdr:twoCellAnchor>
    <xdr:from>
      <xdr:col>6</xdr:col>
      <xdr:colOff>76199</xdr:colOff>
      <xdr:row>3</xdr:row>
      <xdr:rowOff>159571</xdr:rowOff>
    </xdr:from>
    <xdr:to>
      <xdr:col>20</xdr:col>
      <xdr:colOff>246152</xdr:colOff>
      <xdr:row>18</xdr:row>
      <xdr:rowOff>26221</xdr:rowOff>
    </xdr:to>
    <xdr:graphicFrame macro="">
      <xdr:nvGraphicFramePr>
        <xdr:cNvPr id="3" name="Chart 2">
          <a:extLst>
            <a:ext uri="{FF2B5EF4-FFF2-40B4-BE49-F238E27FC236}">
              <a16:creationId xmlns:a16="http://schemas.microsoft.com/office/drawing/2014/main" id="{69D1DAF1-B786-491B-9C50-F4871E6BB1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3</xdr:row>
      <xdr:rowOff>176052</xdr:rowOff>
    </xdr:from>
    <xdr:to>
      <xdr:col>1</xdr:col>
      <xdr:colOff>581025</xdr:colOff>
      <xdr:row>15</xdr:row>
      <xdr:rowOff>157003</xdr:rowOff>
    </xdr:to>
    <mc:AlternateContent xmlns:mc="http://schemas.openxmlformats.org/markup-compatibility/2006" xmlns:a14="http://schemas.microsoft.com/office/drawing/2010/main">
      <mc:Choice Requires="a14">
        <xdr:graphicFrame macro="">
          <xdr:nvGraphicFramePr>
            <xdr:cNvPr id="4" name="Seller">
              <a:extLst>
                <a:ext uri="{FF2B5EF4-FFF2-40B4-BE49-F238E27FC236}">
                  <a16:creationId xmlns:a16="http://schemas.microsoft.com/office/drawing/2014/main" id="{49459FE2-4A3F-485A-A781-CCF1D1DBD99B}"/>
                </a:ext>
              </a:extLst>
            </xdr:cNvPr>
            <xdr:cNvGraphicFramePr/>
          </xdr:nvGraphicFramePr>
          <xdr:xfrm>
            <a:off x="0" y="0"/>
            <a:ext cx="0" cy="0"/>
          </xdr:xfrm>
          <a:graphic>
            <a:graphicData uri="http://schemas.microsoft.com/office/drawing/2010/slicer">
              <sle:slicer xmlns:sle="http://schemas.microsoft.com/office/drawing/2010/slicer" name="Seller"/>
            </a:graphicData>
          </a:graphic>
        </xdr:graphicFrame>
      </mc:Choice>
      <mc:Fallback xmlns="">
        <xdr:sp macro="" textlink="">
          <xdr:nvSpPr>
            <xdr:cNvPr id="0" name=""/>
            <xdr:cNvSpPr>
              <a:spLocks noTextEdit="1"/>
            </xdr:cNvSpPr>
          </xdr:nvSpPr>
          <xdr:spPr>
            <a:xfrm>
              <a:off x="0" y="968018"/>
              <a:ext cx="1191053" cy="22926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602430</xdr:colOff>
      <xdr:row>3</xdr:row>
      <xdr:rowOff>177229</xdr:rowOff>
    </xdr:from>
    <xdr:to>
      <xdr:col>3</xdr:col>
      <xdr:colOff>526230</xdr:colOff>
      <xdr:row>15</xdr:row>
      <xdr:rowOff>158180</xdr:rowOff>
    </xdr:to>
    <mc:AlternateContent xmlns:mc="http://schemas.openxmlformats.org/markup-compatibility/2006" xmlns:a14="http://schemas.microsoft.com/office/drawing/2010/main">
      <mc:Choice Requires="a14">
        <xdr:graphicFrame macro="">
          <xdr:nvGraphicFramePr>
            <xdr:cNvPr id="5" name="State">
              <a:extLst>
                <a:ext uri="{FF2B5EF4-FFF2-40B4-BE49-F238E27FC236}">
                  <a16:creationId xmlns:a16="http://schemas.microsoft.com/office/drawing/2014/main" id="{5C09AAE8-540C-4462-A9CD-112C4C4FF9BB}"/>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212458" y="969195"/>
              <a:ext cx="1143856" cy="22926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526230</xdr:colOff>
      <xdr:row>3</xdr:row>
      <xdr:rowOff>177229</xdr:rowOff>
    </xdr:from>
    <xdr:to>
      <xdr:col>6</xdr:col>
      <xdr:colOff>11451</xdr:colOff>
      <xdr:row>13</xdr:row>
      <xdr:rowOff>32214</xdr:rowOff>
    </xdr:to>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5F363CB3-95BC-456F-A5A2-1282A49E503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356314" y="969195"/>
              <a:ext cx="1315306" cy="17813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34674</xdr:colOff>
      <xdr:row>18</xdr:row>
      <xdr:rowOff>55972</xdr:rowOff>
    </xdr:from>
    <xdr:to>
      <xdr:col>13</xdr:col>
      <xdr:colOff>339475</xdr:colOff>
      <xdr:row>32</xdr:row>
      <xdr:rowOff>132172</xdr:rowOff>
    </xdr:to>
    <xdr:graphicFrame macro="">
      <xdr:nvGraphicFramePr>
        <xdr:cNvPr id="18" name="Chart 17">
          <a:extLst>
            <a:ext uri="{FF2B5EF4-FFF2-40B4-BE49-F238E27FC236}">
              <a16:creationId xmlns:a16="http://schemas.microsoft.com/office/drawing/2014/main" id="{5B527539-706B-4D7D-98C8-335534EBAA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85618</xdr:colOff>
      <xdr:row>18</xdr:row>
      <xdr:rowOff>53512</xdr:rowOff>
    </xdr:from>
    <xdr:to>
      <xdr:col>6</xdr:col>
      <xdr:colOff>21404</xdr:colOff>
      <xdr:row>32</xdr:row>
      <xdr:rowOff>124416</xdr:rowOff>
    </xdr:to>
    <xdr:graphicFrame macro="">
      <xdr:nvGraphicFramePr>
        <xdr:cNvPr id="20" name="Chart 19">
          <a:extLst>
            <a:ext uri="{FF2B5EF4-FFF2-40B4-BE49-F238E27FC236}">
              <a16:creationId xmlns:a16="http://schemas.microsoft.com/office/drawing/2014/main" id="{7CC435C5-9E18-4243-A49C-323C47E012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406686</xdr:colOff>
      <xdr:row>18</xdr:row>
      <xdr:rowOff>96320</xdr:rowOff>
    </xdr:from>
    <xdr:to>
      <xdr:col>21</xdr:col>
      <xdr:colOff>98461</xdr:colOff>
      <xdr:row>32</xdr:row>
      <xdr:rowOff>142554</xdr:rowOff>
    </xdr:to>
    <mc:AlternateContent xmlns:mc="http://schemas.openxmlformats.org/markup-compatibility/2006">
      <mc:Choice xmlns:cx4="http://schemas.microsoft.com/office/drawing/2016/5/10/chartex" Requires="cx4">
        <xdr:graphicFrame macro="">
          <xdr:nvGraphicFramePr>
            <xdr:cNvPr id="17" name="Chart 16">
              <a:extLst>
                <a:ext uri="{FF2B5EF4-FFF2-40B4-BE49-F238E27FC236}">
                  <a16:creationId xmlns:a16="http://schemas.microsoft.com/office/drawing/2014/main" id="{78AD627F-CD97-4044-B57E-A1EB8F83CEB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8331486" y="3744395"/>
              <a:ext cx="4568575" cy="271323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1</xdr:colOff>
      <xdr:row>0</xdr:row>
      <xdr:rowOff>192639</xdr:rowOff>
    </xdr:from>
    <xdr:to>
      <xdr:col>17</xdr:col>
      <xdr:colOff>149831</xdr:colOff>
      <xdr:row>2</xdr:row>
      <xdr:rowOff>149831</xdr:rowOff>
    </xdr:to>
    <xdr:graphicFrame macro="">
      <xdr:nvGraphicFramePr>
        <xdr:cNvPr id="15" name="Chart 14">
          <a:extLst>
            <a:ext uri="{FF2B5EF4-FFF2-40B4-BE49-F238E27FC236}">
              <a16:creationId xmlns:a16="http://schemas.microsoft.com/office/drawing/2014/main" id="{DA968588-3D15-4116-A9AE-698844C703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492303</xdr:colOff>
      <xdr:row>0</xdr:row>
      <xdr:rowOff>32107</xdr:rowOff>
    </xdr:from>
    <xdr:to>
      <xdr:col>17</xdr:col>
      <xdr:colOff>347501</xdr:colOff>
      <xdr:row>2</xdr:row>
      <xdr:rowOff>178535</xdr:rowOff>
    </xdr:to>
    <xdr:graphicFrame macro="">
      <xdr:nvGraphicFramePr>
        <xdr:cNvPr id="16" name="Chart 15">
          <a:extLst>
            <a:ext uri="{FF2B5EF4-FFF2-40B4-BE49-F238E27FC236}">
              <a16:creationId xmlns:a16="http://schemas.microsoft.com/office/drawing/2014/main" id="{2755B198-08F5-4749-90B7-195ABC6542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skan" refreshedDate="45863.725336921299" createdVersion="8" refreshedVersion="8" minRefreshableVersion="3" recordCount="200" xr:uid="{B58BB4CF-829A-41E0-965F-B23029AB938A}">
  <cacheSource type="worksheet">
    <worksheetSource name="Table1"/>
  </cacheSource>
  <cacheFields count="8">
    <cacheField name="Month" numFmtId="0">
      <sharedItems count="12">
        <s v="May"/>
        <s v="Nov"/>
        <s v="Jun"/>
        <s v="Dec"/>
        <s v="Feb"/>
        <s v="Mar"/>
        <s v="Jan"/>
        <s v="Jul"/>
        <s v="Apr"/>
        <s v="Aug"/>
        <s v="Oct"/>
        <s v="Sep"/>
      </sharedItems>
    </cacheField>
    <cacheField name="Seller" numFmtId="0">
      <sharedItems count="7">
        <s v="Dave"/>
        <s v="Frank"/>
        <s v="Eve"/>
        <s v="Bob"/>
        <s v="Carol"/>
        <s v="Alice"/>
        <s v="Grace"/>
      </sharedItems>
    </cacheField>
    <cacheField name="Category" numFmtId="0">
      <sharedItems count="5">
        <s v="Electronics"/>
        <s v="Clothing"/>
        <s v="Sports &amp; Fitness"/>
        <s v="Food &amp; Beverages"/>
        <s v="Home Appliances"/>
      </sharedItems>
    </cacheField>
    <cacheField name="Product" numFmtId="0">
      <sharedItems/>
    </cacheField>
    <cacheField name="State" numFmtId="0">
      <sharedItems count="6">
        <s v="California"/>
        <s v="Texas"/>
        <s v="New York"/>
        <s v="Florida"/>
        <s v="Illinois"/>
        <s v="Pennsylvania"/>
      </sharedItems>
    </cacheField>
    <cacheField name="Sales" numFmtId="0">
      <sharedItems containsSemiMixedTypes="0" containsString="0" containsNumber="1" minValue="105.17" maxValue="9995.59" count="200">
        <n v="2122.15"/>
        <n v="8413.3700000000008"/>
        <n v="9088.41"/>
        <n v="3250.66"/>
        <n v="8721.92"/>
        <n v="2361.0700000000002"/>
        <n v="6033.49"/>
        <n v="2770.26"/>
        <n v="3101.1"/>
        <n v="9995.59"/>
        <n v="6751.92"/>
        <n v="1619.29"/>
        <n v="1062.95"/>
        <n v="6399.74"/>
        <n v="1184.17"/>
        <n v="3336.38"/>
        <n v="8421.1"/>
        <n v="455.63"/>
        <n v="3638.37"/>
        <n v="1147.8399999999999"/>
        <n v="2413.4499999999998"/>
        <n v="8105.44"/>
        <n v="3481.09"/>
        <n v="1366.9"/>
        <n v="5313.49"/>
        <n v="8291.9500000000007"/>
        <n v="6144.45"/>
        <n v="6458.2"/>
        <n v="1714.15"/>
        <n v="5708.29"/>
        <n v="1251.78"/>
        <n v="3720.62"/>
        <n v="9523.52"/>
        <n v="2774.29"/>
        <n v="3788.17"/>
        <n v="5553.06"/>
        <n v="7640.85"/>
        <n v="3304.9"/>
        <n v="6488.17"/>
        <n v="9839.82"/>
        <n v="3712.82"/>
        <n v="6866.73"/>
        <n v="6460.53"/>
        <n v="9990.16"/>
        <n v="5484.24"/>
        <n v="2308.25"/>
        <n v="2676.37"/>
        <n v="7227.06"/>
        <n v="5372.31"/>
        <n v="8701.17"/>
        <n v="3021.68"/>
        <n v="8956.6299999999992"/>
        <n v="3598.37"/>
        <n v="2727.34"/>
        <n v="9937.5499999999993"/>
        <n v="5381.29"/>
        <n v="9712.16"/>
        <n v="9104.2900000000009"/>
        <n v="612.22"/>
        <n v="1254.8"/>
        <n v="7302.14"/>
        <n v="7622.37"/>
        <n v="2560.33"/>
        <n v="2340.3000000000002"/>
        <n v="8967.25"/>
        <n v="7815.24"/>
        <n v="1269.5999999999999"/>
        <n v="6333.05"/>
        <n v="2894.66"/>
        <n v="6710.53"/>
        <n v="2832.91"/>
        <n v="3711.91"/>
        <n v="5574.28"/>
        <n v="5732.96"/>
        <n v="8381.41"/>
        <n v="6715.85"/>
        <n v="1999.52"/>
        <n v="600.72"/>
        <n v="2127.62"/>
        <n v="3735.72"/>
        <n v="2856.86"/>
        <n v="1342.77"/>
        <n v="4869.2299999999996"/>
        <n v="5444.61"/>
        <n v="5891.91"/>
        <n v="949.88"/>
        <n v="580.63"/>
        <n v="4376.82"/>
        <n v="5329.19"/>
        <n v="4789.41"/>
        <n v="2299.36"/>
        <n v="745.98"/>
        <n v="8558.85"/>
        <n v="1630.03"/>
        <n v="3582.45"/>
        <n v="4806.49"/>
        <n v="8035.93"/>
        <n v="1021.24"/>
        <n v="3527.69"/>
        <n v="5826.46"/>
        <n v="9376.5"/>
        <n v="3645.5"/>
        <n v="666.75"/>
        <n v="5020.32"/>
        <n v="2664"/>
        <n v="6252.79"/>
        <n v="7547.82"/>
        <n v="9636.9500000000007"/>
        <n v="352.89"/>
        <n v="5059.7"/>
        <n v="7407.02"/>
        <n v="6667.62"/>
        <n v="3322.06"/>
        <n v="6843.25"/>
        <n v="2571.37"/>
        <n v="7479.72"/>
        <n v="7591.39"/>
        <n v="8744.75"/>
        <n v="6543.09"/>
        <n v="9451.36"/>
        <n v="1622.03"/>
        <n v="5157.5600000000004"/>
        <n v="7831.92"/>
        <n v="4722.2299999999996"/>
        <n v="2235.4"/>
        <n v="8559.49"/>
        <n v="960.08"/>
        <n v="7735.05"/>
        <n v="4084.07"/>
        <n v="933.26"/>
        <n v="2900.45"/>
        <n v="5890.36"/>
        <n v="6569.98"/>
        <n v="8306.7000000000007"/>
        <n v="3571.72"/>
        <n v="5441.76"/>
        <n v="5487.68"/>
        <n v="1470.28"/>
        <n v="4247.75"/>
        <n v="3686.64"/>
        <n v="5623.85"/>
        <n v="177.48"/>
        <n v="3789.4"/>
        <n v="3978.59"/>
        <n v="3113.91"/>
        <n v="7246.84"/>
        <n v="1732.96"/>
        <n v="2353.96"/>
        <n v="8712.7999999999993"/>
        <n v="3338.63"/>
        <n v="9974.5499999999993"/>
        <n v="105.17"/>
        <n v="3730.68"/>
        <n v="845.25"/>
        <n v="1372.49"/>
        <n v="1529.93"/>
        <n v="5744.71"/>
        <n v="2089.1"/>
        <n v="4865.1099999999997"/>
        <n v="9241.23"/>
        <n v="736.99"/>
        <n v="4381.41"/>
        <n v="8924.4500000000007"/>
        <n v="4647.5"/>
        <n v="646.21"/>
        <n v="7231.93"/>
        <n v="5540.59"/>
        <n v="9072.49"/>
        <n v="4720.6000000000004"/>
        <n v="1649.91"/>
        <n v="4336.97"/>
        <n v="3670.36"/>
        <n v="3571.26"/>
        <n v="5174.9799999999996"/>
        <n v="9598.06"/>
        <n v="8465.58"/>
        <n v="4287.16"/>
        <n v="6911.46"/>
        <n v="9380.16"/>
        <n v="4770.8599999999997"/>
        <n v="7013.11"/>
        <n v="7246.39"/>
        <n v="7510.31"/>
        <n v="7907.65"/>
        <n v="610.66999999999996"/>
        <n v="6755.38"/>
        <n v="6786.68"/>
        <n v="2233.15"/>
        <n v="1024.99"/>
        <n v="2166.4299999999998"/>
        <n v="1818.76"/>
        <n v="7708.19"/>
        <n v="8718.89"/>
        <n v="9863.86"/>
        <n v="3070.52"/>
        <n v="7043.56"/>
        <n v="5302.99"/>
        <n v="1814.66"/>
        <n v="4748.08"/>
        <n v="8692.98"/>
      </sharedItems>
    </cacheField>
    <cacheField name="Profit" numFmtId="0">
      <sharedItems containsSemiMixedTypes="0" containsString="0" containsNumber="1" minValue="12.54" maxValue="7188.04" count="200">
        <n v="1384.86"/>
        <n v="6642.86"/>
        <n v="4855.3"/>
        <n v="395.36"/>
        <n v="2873.34"/>
        <n v="126.6"/>
        <n v="713.3"/>
        <n v="633.86"/>
        <n v="1063.08"/>
        <n v="6411.72"/>
        <n v="4074.55"/>
        <n v="1268.3900000000001"/>
        <n v="12.54"/>
        <n v="2725.63"/>
        <n v="1004.27"/>
        <n v="572.85"/>
        <n v="831.55"/>
        <n v="319.60000000000002"/>
        <n v="3250.9"/>
        <n v="888.28"/>
        <n v="254.14"/>
        <n v="6249.24"/>
        <n v="1954.98"/>
        <n v="741.2"/>
        <n v="3318.13"/>
        <n v="6119.23"/>
        <n v="3992.38"/>
        <n v="585.11"/>
        <n v="1408.89"/>
        <n v="289.67"/>
        <n v="478.76"/>
        <n v="2228.4299999999998"/>
        <n v="3268.02"/>
        <n v="454.3"/>
        <n v="2227.1799999999998"/>
        <n v="2256.86"/>
        <n v="4524.8599999999997"/>
        <n v="1529.44"/>
        <n v="3978.21"/>
        <n v="3939.1"/>
        <n v="3263.23"/>
        <n v="4423.2700000000004"/>
        <n v="745.41"/>
        <n v="7152.55"/>
        <n v="1310.53"/>
        <n v="1842.98"/>
        <n v="1010.73"/>
        <n v="5149.08"/>
        <n v="4233.07"/>
        <n v="4410.42"/>
        <n v="655.8"/>
        <n v="4038.86"/>
        <n v="2396.0500000000002"/>
        <n v="1513.75"/>
        <n v="7188.04"/>
        <n v="1610.64"/>
        <n v="6861.75"/>
        <n v="4342.49"/>
        <n v="81.2"/>
        <n v="348.34"/>
        <n v="212.01"/>
        <n v="4974.68"/>
        <n v="1580.31"/>
        <n v="297.27"/>
        <n v="1088.21"/>
        <n v="4640.09"/>
        <n v="1097.05"/>
        <n v="4493.8100000000004"/>
        <n v="2417.04"/>
        <n v="4605.67"/>
        <n v="2464.64"/>
        <n v="911.44"/>
        <n v="697.25"/>
        <n v="195.59"/>
        <n v="6322.48"/>
        <n v="5193.37"/>
        <n v="676.28"/>
        <n v="139.96"/>
        <n v="31.04"/>
        <n v="2694.71"/>
        <n v="2120.92"/>
        <n v="980.78"/>
        <n v="3917.47"/>
        <n v="1132.7"/>
        <n v="445.9"/>
        <n v="578.25"/>
        <n v="126.29"/>
        <n v="2440.69"/>
        <n v="709.28"/>
        <n v="2629.17"/>
        <n v="1915.5"/>
        <n v="277.54000000000002"/>
        <n v="4423.1000000000004"/>
        <n v="948.42"/>
        <n v="944.91"/>
        <n v="842.36"/>
        <n v="2917.09"/>
        <n v="407.07"/>
        <n v="1180.96"/>
        <n v="4300.93"/>
        <n v="917.14"/>
        <n v="687.2"/>
        <n v="412.78"/>
        <n v="1839.86"/>
        <n v="1103.1400000000001"/>
        <n v="4829.1099999999997"/>
        <n v="3850.16"/>
        <n v="845.42"/>
        <n v="101.3"/>
        <n v="919.79"/>
        <n v="90.8"/>
        <n v="1713.38"/>
        <n v="2562.04"/>
        <n v="2110.91"/>
        <n v="1336.75"/>
        <n v="3389.93"/>
        <n v="3261.65"/>
        <n v="4083.16"/>
        <n v="4343.0200000000004"/>
        <n v="3445.57"/>
        <n v="164.11"/>
        <n v="3843.67"/>
        <n v="6310.48"/>
        <n v="2653.62"/>
        <n v="976.75"/>
        <n v="4310.71"/>
        <n v="117.05"/>
        <n v="908.26"/>
        <n v="2888.94"/>
        <n v="509.09"/>
        <n v="18.82"/>
        <n v="371.14"/>
        <n v="3789.26"/>
        <n v="2662.93"/>
        <n v="152.5"/>
        <n v="531.24"/>
        <n v="818.16"/>
        <n v="934.06"/>
        <n v="1950.02"/>
        <n v="187.65"/>
        <n v="612.91"/>
        <n v="125.73"/>
        <n v="898.71"/>
        <n v="1547.92"/>
        <n v="1677.53"/>
        <n v="6341.08"/>
        <n v="841.81"/>
        <n v="234.17"/>
        <n v="5509.81"/>
        <n v="907.11"/>
        <n v="6660.93"/>
        <n v="48.49"/>
        <n v="245.32"/>
        <n v="281.74"/>
        <n v="683.4"/>
        <n v="649.89"/>
        <n v="849.52"/>
        <n v="1146.1199999999999"/>
        <n v="3032.02"/>
        <n v="3388.77"/>
        <n v="342.46"/>
        <n v="3161.78"/>
        <n v="6743.86"/>
        <n v="1411.03"/>
        <n v="179.19"/>
        <n v="5585.13"/>
        <n v="3996.05"/>
        <n v="301.48"/>
        <n v="3435.36"/>
        <n v="483.23"/>
        <n v="2669.37"/>
        <n v="2315.29"/>
        <n v="933.79"/>
        <n v="3905.3"/>
        <n v="6029.98"/>
        <n v="5340.76"/>
        <n v="3680.53"/>
        <n v="5784.12"/>
        <n v="6707.4"/>
        <n v="522.48"/>
        <n v="4490.7299999999996"/>
        <n v="2766.01"/>
        <n v="2202.1"/>
        <n v="1177.95"/>
        <n v="186.29"/>
        <n v="5469.79"/>
        <n v="3240.54"/>
        <n v="569.79"/>
        <n v="20.11"/>
        <n v="1904.84"/>
        <n v="126.42"/>
        <n v="1414.19"/>
        <n v="6639.62"/>
        <n v="1565.12"/>
        <n v="1223.1500000000001"/>
        <n v="2548.19"/>
        <n v="3041.41"/>
        <n v="1511.98"/>
        <n v="1393.16"/>
        <n v="978.72"/>
      </sharedItems>
    </cacheField>
    <cacheField name="profit ratio" numFmtId="0" formula="Profit/Sales" databaseField="0"/>
  </cacheFields>
  <extLst>
    <ext xmlns:x14="http://schemas.microsoft.com/office/spreadsheetml/2009/9/main" uri="{725AE2AE-9491-48be-B2B4-4EB974FC3084}">
      <x14:pivotCacheDefinition pivotCacheId="16619201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x v="0"/>
    <s v="Smartphone"/>
    <x v="0"/>
    <x v="0"/>
    <x v="0"/>
  </r>
  <r>
    <x v="1"/>
    <x v="1"/>
    <x v="1"/>
    <s v="Jeans"/>
    <x v="1"/>
    <x v="1"/>
    <x v="1"/>
  </r>
  <r>
    <x v="2"/>
    <x v="2"/>
    <x v="2"/>
    <s v="Yoga Mat"/>
    <x v="2"/>
    <x v="2"/>
    <x v="2"/>
  </r>
  <r>
    <x v="3"/>
    <x v="0"/>
    <x v="3"/>
    <s v="Snacks"/>
    <x v="1"/>
    <x v="3"/>
    <x v="3"/>
  </r>
  <r>
    <x v="4"/>
    <x v="0"/>
    <x v="1"/>
    <s v="Jacket"/>
    <x v="3"/>
    <x v="4"/>
    <x v="4"/>
  </r>
  <r>
    <x v="5"/>
    <x v="3"/>
    <x v="3"/>
    <s v="Juice"/>
    <x v="0"/>
    <x v="5"/>
    <x v="5"/>
  </r>
  <r>
    <x v="4"/>
    <x v="4"/>
    <x v="2"/>
    <s v="Bicycle"/>
    <x v="4"/>
    <x v="6"/>
    <x v="6"/>
  </r>
  <r>
    <x v="1"/>
    <x v="0"/>
    <x v="4"/>
    <s v="Microwave"/>
    <x v="1"/>
    <x v="7"/>
    <x v="7"/>
  </r>
  <r>
    <x v="6"/>
    <x v="0"/>
    <x v="0"/>
    <s v="Smartphone"/>
    <x v="3"/>
    <x v="8"/>
    <x v="8"/>
  </r>
  <r>
    <x v="7"/>
    <x v="5"/>
    <x v="2"/>
    <s v="Bicycle"/>
    <x v="0"/>
    <x v="9"/>
    <x v="9"/>
  </r>
  <r>
    <x v="8"/>
    <x v="1"/>
    <x v="4"/>
    <s v="Microwave"/>
    <x v="0"/>
    <x v="10"/>
    <x v="10"/>
  </r>
  <r>
    <x v="9"/>
    <x v="3"/>
    <x v="2"/>
    <s v="Dumbbells"/>
    <x v="2"/>
    <x v="11"/>
    <x v="11"/>
  </r>
  <r>
    <x v="0"/>
    <x v="1"/>
    <x v="4"/>
    <s v="Microwave"/>
    <x v="2"/>
    <x v="12"/>
    <x v="12"/>
  </r>
  <r>
    <x v="7"/>
    <x v="0"/>
    <x v="1"/>
    <s v="T-Shirt"/>
    <x v="1"/>
    <x v="13"/>
    <x v="13"/>
  </r>
  <r>
    <x v="0"/>
    <x v="0"/>
    <x v="4"/>
    <s v="Dishwasher"/>
    <x v="3"/>
    <x v="14"/>
    <x v="14"/>
  </r>
  <r>
    <x v="6"/>
    <x v="1"/>
    <x v="2"/>
    <s v="Dumbbells"/>
    <x v="0"/>
    <x v="15"/>
    <x v="15"/>
  </r>
  <r>
    <x v="6"/>
    <x v="3"/>
    <x v="3"/>
    <s v="Tea"/>
    <x v="0"/>
    <x v="16"/>
    <x v="16"/>
  </r>
  <r>
    <x v="6"/>
    <x v="3"/>
    <x v="1"/>
    <s v="Sweater"/>
    <x v="4"/>
    <x v="17"/>
    <x v="17"/>
  </r>
  <r>
    <x v="0"/>
    <x v="5"/>
    <x v="2"/>
    <s v="Dumbbells"/>
    <x v="3"/>
    <x v="18"/>
    <x v="18"/>
  </r>
  <r>
    <x v="8"/>
    <x v="1"/>
    <x v="0"/>
    <s v="Headphones"/>
    <x v="0"/>
    <x v="19"/>
    <x v="19"/>
  </r>
  <r>
    <x v="2"/>
    <x v="5"/>
    <x v="0"/>
    <s v="Smartphone"/>
    <x v="5"/>
    <x v="20"/>
    <x v="20"/>
  </r>
  <r>
    <x v="3"/>
    <x v="3"/>
    <x v="1"/>
    <s v="Jeans"/>
    <x v="3"/>
    <x v="21"/>
    <x v="21"/>
  </r>
  <r>
    <x v="5"/>
    <x v="6"/>
    <x v="4"/>
    <s v="Refrigerator"/>
    <x v="3"/>
    <x v="22"/>
    <x v="22"/>
  </r>
  <r>
    <x v="8"/>
    <x v="2"/>
    <x v="0"/>
    <s v="Camera"/>
    <x v="0"/>
    <x v="23"/>
    <x v="23"/>
  </r>
  <r>
    <x v="3"/>
    <x v="3"/>
    <x v="1"/>
    <s v="Jacket"/>
    <x v="4"/>
    <x v="24"/>
    <x v="24"/>
  </r>
  <r>
    <x v="10"/>
    <x v="0"/>
    <x v="2"/>
    <s v="Treadmill"/>
    <x v="1"/>
    <x v="25"/>
    <x v="25"/>
  </r>
  <r>
    <x v="7"/>
    <x v="2"/>
    <x v="2"/>
    <s v="Bicycle"/>
    <x v="4"/>
    <x v="26"/>
    <x v="26"/>
  </r>
  <r>
    <x v="2"/>
    <x v="0"/>
    <x v="0"/>
    <s v="Laptop"/>
    <x v="4"/>
    <x v="27"/>
    <x v="27"/>
  </r>
  <r>
    <x v="0"/>
    <x v="0"/>
    <x v="1"/>
    <s v="Jeans"/>
    <x v="0"/>
    <x v="28"/>
    <x v="28"/>
  </r>
  <r>
    <x v="11"/>
    <x v="3"/>
    <x v="2"/>
    <s v="Bicycle"/>
    <x v="2"/>
    <x v="29"/>
    <x v="29"/>
  </r>
  <r>
    <x v="2"/>
    <x v="6"/>
    <x v="1"/>
    <s v="T-Shirt"/>
    <x v="0"/>
    <x v="30"/>
    <x v="30"/>
  </r>
  <r>
    <x v="8"/>
    <x v="2"/>
    <x v="3"/>
    <s v="Snacks"/>
    <x v="0"/>
    <x v="31"/>
    <x v="31"/>
  </r>
  <r>
    <x v="5"/>
    <x v="3"/>
    <x v="2"/>
    <s v="Bicycle"/>
    <x v="1"/>
    <x v="32"/>
    <x v="32"/>
  </r>
  <r>
    <x v="8"/>
    <x v="3"/>
    <x v="0"/>
    <s v="Camera"/>
    <x v="0"/>
    <x v="33"/>
    <x v="33"/>
  </r>
  <r>
    <x v="6"/>
    <x v="6"/>
    <x v="0"/>
    <s v="Laptop"/>
    <x v="3"/>
    <x v="34"/>
    <x v="34"/>
  </r>
  <r>
    <x v="6"/>
    <x v="4"/>
    <x v="3"/>
    <s v="Snacks"/>
    <x v="4"/>
    <x v="35"/>
    <x v="35"/>
  </r>
  <r>
    <x v="2"/>
    <x v="6"/>
    <x v="0"/>
    <s v="Headphones"/>
    <x v="5"/>
    <x v="36"/>
    <x v="36"/>
  </r>
  <r>
    <x v="5"/>
    <x v="2"/>
    <x v="0"/>
    <s v="Headphones"/>
    <x v="5"/>
    <x v="37"/>
    <x v="37"/>
  </r>
  <r>
    <x v="4"/>
    <x v="6"/>
    <x v="4"/>
    <s v="Microwave"/>
    <x v="1"/>
    <x v="38"/>
    <x v="38"/>
  </r>
  <r>
    <x v="11"/>
    <x v="5"/>
    <x v="0"/>
    <s v="Laptop"/>
    <x v="5"/>
    <x v="39"/>
    <x v="39"/>
  </r>
  <r>
    <x v="3"/>
    <x v="3"/>
    <x v="1"/>
    <s v="Jeans"/>
    <x v="1"/>
    <x v="40"/>
    <x v="40"/>
  </r>
  <r>
    <x v="7"/>
    <x v="5"/>
    <x v="2"/>
    <s v="Dumbbells"/>
    <x v="0"/>
    <x v="41"/>
    <x v="41"/>
  </r>
  <r>
    <x v="5"/>
    <x v="6"/>
    <x v="3"/>
    <s v="Juice"/>
    <x v="0"/>
    <x v="42"/>
    <x v="42"/>
  </r>
  <r>
    <x v="0"/>
    <x v="2"/>
    <x v="0"/>
    <s v="Laptop"/>
    <x v="2"/>
    <x v="43"/>
    <x v="43"/>
  </r>
  <r>
    <x v="4"/>
    <x v="3"/>
    <x v="1"/>
    <s v="Sweater"/>
    <x v="0"/>
    <x v="44"/>
    <x v="44"/>
  </r>
  <r>
    <x v="7"/>
    <x v="4"/>
    <x v="4"/>
    <s v="Refrigerator"/>
    <x v="5"/>
    <x v="45"/>
    <x v="45"/>
  </r>
  <r>
    <x v="1"/>
    <x v="5"/>
    <x v="4"/>
    <s v="Dishwasher"/>
    <x v="2"/>
    <x v="46"/>
    <x v="46"/>
  </r>
  <r>
    <x v="9"/>
    <x v="6"/>
    <x v="2"/>
    <s v="Yoga Mat"/>
    <x v="5"/>
    <x v="47"/>
    <x v="47"/>
  </r>
  <r>
    <x v="6"/>
    <x v="4"/>
    <x v="4"/>
    <s v="Refrigerator"/>
    <x v="3"/>
    <x v="48"/>
    <x v="48"/>
  </r>
  <r>
    <x v="6"/>
    <x v="5"/>
    <x v="4"/>
    <s v="Microwave"/>
    <x v="2"/>
    <x v="49"/>
    <x v="49"/>
  </r>
  <r>
    <x v="2"/>
    <x v="6"/>
    <x v="2"/>
    <s v="Treadmill"/>
    <x v="5"/>
    <x v="50"/>
    <x v="50"/>
  </r>
  <r>
    <x v="4"/>
    <x v="4"/>
    <x v="4"/>
    <s v="Refrigerator"/>
    <x v="5"/>
    <x v="51"/>
    <x v="51"/>
  </r>
  <r>
    <x v="7"/>
    <x v="5"/>
    <x v="1"/>
    <s v="T-Shirt"/>
    <x v="0"/>
    <x v="52"/>
    <x v="52"/>
  </r>
  <r>
    <x v="11"/>
    <x v="1"/>
    <x v="2"/>
    <s v="Dumbbells"/>
    <x v="5"/>
    <x v="53"/>
    <x v="53"/>
  </r>
  <r>
    <x v="5"/>
    <x v="0"/>
    <x v="3"/>
    <s v="Coffee"/>
    <x v="0"/>
    <x v="54"/>
    <x v="54"/>
  </r>
  <r>
    <x v="1"/>
    <x v="3"/>
    <x v="1"/>
    <s v="Jeans"/>
    <x v="0"/>
    <x v="55"/>
    <x v="55"/>
  </r>
  <r>
    <x v="8"/>
    <x v="1"/>
    <x v="4"/>
    <s v="Microwave"/>
    <x v="0"/>
    <x v="56"/>
    <x v="56"/>
  </r>
  <r>
    <x v="6"/>
    <x v="3"/>
    <x v="4"/>
    <s v="Microwave"/>
    <x v="1"/>
    <x v="57"/>
    <x v="57"/>
  </r>
  <r>
    <x v="4"/>
    <x v="0"/>
    <x v="1"/>
    <s v="Sweater"/>
    <x v="0"/>
    <x v="58"/>
    <x v="58"/>
  </r>
  <r>
    <x v="7"/>
    <x v="1"/>
    <x v="3"/>
    <s v="Snacks"/>
    <x v="0"/>
    <x v="59"/>
    <x v="59"/>
  </r>
  <r>
    <x v="2"/>
    <x v="0"/>
    <x v="4"/>
    <s v="Dishwasher"/>
    <x v="2"/>
    <x v="60"/>
    <x v="60"/>
  </r>
  <r>
    <x v="11"/>
    <x v="4"/>
    <x v="4"/>
    <s v="Microwave"/>
    <x v="4"/>
    <x v="61"/>
    <x v="61"/>
  </r>
  <r>
    <x v="0"/>
    <x v="4"/>
    <x v="2"/>
    <s v="Dumbbells"/>
    <x v="5"/>
    <x v="62"/>
    <x v="62"/>
  </r>
  <r>
    <x v="0"/>
    <x v="0"/>
    <x v="3"/>
    <s v="Snacks"/>
    <x v="0"/>
    <x v="63"/>
    <x v="63"/>
  </r>
  <r>
    <x v="5"/>
    <x v="5"/>
    <x v="1"/>
    <s v="Sweater"/>
    <x v="2"/>
    <x v="64"/>
    <x v="64"/>
  </r>
  <r>
    <x v="10"/>
    <x v="5"/>
    <x v="0"/>
    <s v="Headphones"/>
    <x v="2"/>
    <x v="65"/>
    <x v="65"/>
  </r>
  <r>
    <x v="10"/>
    <x v="2"/>
    <x v="1"/>
    <s v="Jacket"/>
    <x v="2"/>
    <x v="66"/>
    <x v="66"/>
  </r>
  <r>
    <x v="6"/>
    <x v="4"/>
    <x v="4"/>
    <s v="Toaster"/>
    <x v="1"/>
    <x v="67"/>
    <x v="67"/>
  </r>
  <r>
    <x v="2"/>
    <x v="1"/>
    <x v="2"/>
    <s v="Bicycle"/>
    <x v="2"/>
    <x v="68"/>
    <x v="68"/>
  </r>
  <r>
    <x v="2"/>
    <x v="5"/>
    <x v="1"/>
    <s v="Jeans"/>
    <x v="0"/>
    <x v="69"/>
    <x v="69"/>
  </r>
  <r>
    <x v="1"/>
    <x v="4"/>
    <x v="3"/>
    <s v="Juice"/>
    <x v="5"/>
    <x v="70"/>
    <x v="70"/>
  </r>
  <r>
    <x v="6"/>
    <x v="5"/>
    <x v="3"/>
    <s v="Coffee"/>
    <x v="2"/>
    <x v="71"/>
    <x v="71"/>
  </r>
  <r>
    <x v="8"/>
    <x v="2"/>
    <x v="2"/>
    <s v="Bicycle"/>
    <x v="4"/>
    <x v="72"/>
    <x v="72"/>
  </r>
  <r>
    <x v="9"/>
    <x v="4"/>
    <x v="1"/>
    <s v="Jacket"/>
    <x v="1"/>
    <x v="73"/>
    <x v="73"/>
  </r>
  <r>
    <x v="1"/>
    <x v="6"/>
    <x v="4"/>
    <s v="Microwave"/>
    <x v="0"/>
    <x v="74"/>
    <x v="74"/>
  </r>
  <r>
    <x v="6"/>
    <x v="2"/>
    <x v="1"/>
    <s v="Sweater"/>
    <x v="4"/>
    <x v="75"/>
    <x v="75"/>
  </r>
  <r>
    <x v="9"/>
    <x v="5"/>
    <x v="0"/>
    <s v="Laptop"/>
    <x v="3"/>
    <x v="76"/>
    <x v="76"/>
  </r>
  <r>
    <x v="5"/>
    <x v="1"/>
    <x v="2"/>
    <s v="Bicycle"/>
    <x v="2"/>
    <x v="77"/>
    <x v="77"/>
  </r>
  <r>
    <x v="0"/>
    <x v="3"/>
    <x v="1"/>
    <s v="T-Shirt"/>
    <x v="0"/>
    <x v="78"/>
    <x v="78"/>
  </r>
  <r>
    <x v="4"/>
    <x v="6"/>
    <x v="1"/>
    <s v="T-Shirt"/>
    <x v="0"/>
    <x v="79"/>
    <x v="79"/>
  </r>
  <r>
    <x v="8"/>
    <x v="6"/>
    <x v="2"/>
    <s v="Yoga Mat"/>
    <x v="2"/>
    <x v="80"/>
    <x v="80"/>
  </r>
  <r>
    <x v="3"/>
    <x v="1"/>
    <x v="4"/>
    <s v="Microwave"/>
    <x v="5"/>
    <x v="81"/>
    <x v="81"/>
  </r>
  <r>
    <x v="5"/>
    <x v="6"/>
    <x v="1"/>
    <s v="Jeans"/>
    <x v="1"/>
    <x v="82"/>
    <x v="82"/>
  </r>
  <r>
    <x v="11"/>
    <x v="5"/>
    <x v="2"/>
    <s v="Bicycle"/>
    <x v="0"/>
    <x v="83"/>
    <x v="83"/>
  </r>
  <r>
    <x v="3"/>
    <x v="2"/>
    <x v="0"/>
    <s v="Smartphone"/>
    <x v="0"/>
    <x v="84"/>
    <x v="84"/>
  </r>
  <r>
    <x v="10"/>
    <x v="2"/>
    <x v="3"/>
    <s v="Snacks"/>
    <x v="4"/>
    <x v="85"/>
    <x v="85"/>
  </r>
  <r>
    <x v="2"/>
    <x v="6"/>
    <x v="2"/>
    <s v="Bicycle"/>
    <x v="1"/>
    <x v="86"/>
    <x v="86"/>
  </r>
  <r>
    <x v="7"/>
    <x v="3"/>
    <x v="1"/>
    <s v="T-Shirt"/>
    <x v="1"/>
    <x v="87"/>
    <x v="87"/>
  </r>
  <r>
    <x v="3"/>
    <x v="6"/>
    <x v="3"/>
    <s v="Juice"/>
    <x v="1"/>
    <x v="88"/>
    <x v="88"/>
  </r>
  <r>
    <x v="1"/>
    <x v="6"/>
    <x v="0"/>
    <s v="Headphones"/>
    <x v="2"/>
    <x v="89"/>
    <x v="89"/>
  </r>
  <r>
    <x v="5"/>
    <x v="4"/>
    <x v="4"/>
    <s v="Toaster"/>
    <x v="5"/>
    <x v="90"/>
    <x v="90"/>
  </r>
  <r>
    <x v="4"/>
    <x v="3"/>
    <x v="1"/>
    <s v="T-Shirt"/>
    <x v="2"/>
    <x v="91"/>
    <x v="91"/>
  </r>
  <r>
    <x v="1"/>
    <x v="4"/>
    <x v="2"/>
    <s v="Dumbbells"/>
    <x v="2"/>
    <x v="92"/>
    <x v="92"/>
  </r>
  <r>
    <x v="7"/>
    <x v="1"/>
    <x v="2"/>
    <s v="Yoga Mat"/>
    <x v="0"/>
    <x v="93"/>
    <x v="93"/>
  </r>
  <r>
    <x v="1"/>
    <x v="3"/>
    <x v="4"/>
    <s v="Dishwasher"/>
    <x v="0"/>
    <x v="94"/>
    <x v="94"/>
  </r>
  <r>
    <x v="1"/>
    <x v="3"/>
    <x v="4"/>
    <s v="Dishwasher"/>
    <x v="1"/>
    <x v="95"/>
    <x v="95"/>
  </r>
  <r>
    <x v="7"/>
    <x v="4"/>
    <x v="4"/>
    <s v="Microwave"/>
    <x v="0"/>
    <x v="96"/>
    <x v="96"/>
  </r>
  <r>
    <x v="2"/>
    <x v="0"/>
    <x v="3"/>
    <s v="Juice"/>
    <x v="0"/>
    <x v="97"/>
    <x v="97"/>
  </r>
  <r>
    <x v="4"/>
    <x v="3"/>
    <x v="0"/>
    <s v="Headphones"/>
    <x v="4"/>
    <x v="98"/>
    <x v="98"/>
  </r>
  <r>
    <x v="9"/>
    <x v="5"/>
    <x v="3"/>
    <s v="Snacks"/>
    <x v="5"/>
    <x v="99"/>
    <x v="99"/>
  </r>
  <r>
    <x v="10"/>
    <x v="1"/>
    <x v="1"/>
    <s v="Jeans"/>
    <x v="0"/>
    <x v="100"/>
    <x v="100"/>
  </r>
  <r>
    <x v="2"/>
    <x v="0"/>
    <x v="3"/>
    <s v="Tea"/>
    <x v="3"/>
    <x v="101"/>
    <x v="101"/>
  </r>
  <r>
    <x v="7"/>
    <x v="4"/>
    <x v="2"/>
    <s v="Dumbbells"/>
    <x v="0"/>
    <x v="102"/>
    <x v="102"/>
  </r>
  <r>
    <x v="5"/>
    <x v="2"/>
    <x v="2"/>
    <s v="Dumbbells"/>
    <x v="2"/>
    <x v="103"/>
    <x v="103"/>
  </r>
  <r>
    <x v="0"/>
    <x v="1"/>
    <x v="3"/>
    <s v="Juice"/>
    <x v="0"/>
    <x v="104"/>
    <x v="104"/>
  </r>
  <r>
    <x v="8"/>
    <x v="1"/>
    <x v="3"/>
    <s v="Coffee"/>
    <x v="1"/>
    <x v="105"/>
    <x v="105"/>
  </r>
  <r>
    <x v="8"/>
    <x v="5"/>
    <x v="1"/>
    <s v="Jeans"/>
    <x v="5"/>
    <x v="106"/>
    <x v="106"/>
  </r>
  <r>
    <x v="6"/>
    <x v="6"/>
    <x v="2"/>
    <s v="Bicycle"/>
    <x v="5"/>
    <x v="107"/>
    <x v="107"/>
  </r>
  <r>
    <x v="6"/>
    <x v="3"/>
    <x v="1"/>
    <s v="Jeans"/>
    <x v="2"/>
    <x v="108"/>
    <x v="108"/>
  </r>
  <r>
    <x v="0"/>
    <x v="1"/>
    <x v="4"/>
    <s v="Microwave"/>
    <x v="5"/>
    <x v="109"/>
    <x v="109"/>
  </r>
  <r>
    <x v="8"/>
    <x v="2"/>
    <x v="2"/>
    <s v="Yoga Mat"/>
    <x v="1"/>
    <x v="110"/>
    <x v="110"/>
  </r>
  <r>
    <x v="7"/>
    <x v="3"/>
    <x v="0"/>
    <s v="Headphones"/>
    <x v="3"/>
    <x v="111"/>
    <x v="111"/>
  </r>
  <r>
    <x v="10"/>
    <x v="0"/>
    <x v="0"/>
    <s v="Headphones"/>
    <x v="0"/>
    <x v="112"/>
    <x v="112"/>
  </r>
  <r>
    <x v="10"/>
    <x v="3"/>
    <x v="4"/>
    <s v="Refrigerator"/>
    <x v="2"/>
    <x v="113"/>
    <x v="113"/>
  </r>
  <r>
    <x v="6"/>
    <x v="4"/>
    <x v="1"/>
    <s v="Sweater"/>
    <x v="2"/>
    <x v="114"/>
    <x v="114"/>
  </r>
  <r>
    <x v="9"/>
    <x v="4"/>
    <x v="3"/>
    <s v="Snacks"/>
    <x v="1"/>
    <x v="115"/>
    <x v="115"/>
  </r>
  <r>
    <x v="8"/>
    <x v="1"/>
    <x v="4"/>
    <s v="Dishwasher"/>
    <x v="0"/>
    <x v="116"/>
    <x v="116"/>
  </r>
  <r>
    <x v="11"/>
    <x v="6"/>
    <x v="2"/>
    <s v="Treadmill"/>
    <x v="3"/>
    <x v="117"/>
    <x v="117"/>
  </r>
  <r>
    <x v="4"/>
    <x v="6"/>
    <x v="2"/>
    <s v="Yoga Mat"/>
    <x v="0"/>
    <x v="118"/>
    <x v="118"/>
  </r>
  <r>
    <x v="7"/>
    <x v="3"/>
    <x v="3"/>
    <s v="Tea"/>
    <x v="0"/>
    <x v="119"/>
    <x v="119"/>
  </r>
  <r>
    <x v="7"/>
    <x v="5"/>
    <x v="0"/>
    <s v="Camera"/>
    <x v="4"/>
    <x v="120"/>
    <x v="120"/>
  </r>
  <r>
    <x v="9"/>
    <x v="5"/>
    <x v="3"/>
    <s v="Juice"/>
    <x v="0"/>
    <x v="121"/>
    <x v="121"/>
  </r>
  <r>
    <x v="8"/>
    <x v="6"/>
    <x v="4"/>
    <s v="Dishwasher"/>
    <x v="0"/>
    <x v="122"/>
    <x v="122"/>
  </r>
  <r>
    <x v="10"/>
    <x v="5"/>
    <x v="0"/>
    <s v="Smartphone"/>
    <x v="2"/>
    <x v="123"/>
    <x v="123"/>
  </r>
  <r>
    <x v="9"/>
    <x v="0"/>
    <x v="0"/>
    <s v="Camera"/>
    <x v="3"/>
    <x v="124"/>
    <x v="124"/>
  </r>
  <r>
    <x v="2"/>
    <x v="3"/>
    <x v="2"/>
    <s v="Dumbbells"/>
    <x v="0"/>
    <x v="125"/>
    <x v="125"/>
  </r>
  <r>
    <x v="1"/>
    <x v="4"/>
    <x v="0"/>
    <s v="Laptop"/>
    <x v="3"/>
    <x v="126"/>
    <x v="126"/>
  </r>
  <r>
    <x v="7"/>
    <x v="5"/>
    <x v="1"/>
    <s v="Sweater"/>
    <x v="4"/>
    <x v="127"/>
    <x v="127"/>
  </r>
  <r>
    <x v="11"/>
    <x v="0"/>
    <x v="2"/>
    <s v="Bicycle"/>
    <x v="2"/>
    <x v="128"/>
    <x v="128"/>
  </r>
  <r>
    <x v="10"/>
    <x v="5"/>
    <x v="2"/>
    <s v="Dumbbells"/>
    <x v="4"/>
    <x v="129"/>
    <x v="129"/>
  </r>
  <r>
    <x v="10"/>
    <x v="3"/>
    <x v="1"/>
    <s v="Jacket"/>
    <x v="2"/>
    <x v="130"/>
    <x v="130"/>
  </r>
  <r>
    <x v="10"/>
    <x v="0"/>
    <x v="4"/>
    <s v="Refrigerator"/>
    <x v="3"/>
    <x v="131"/>
    <x v="131"/>
  </r>
  <r>
    <x v="2"/>
    <x v="5"/>
    <x v="0"/>
    <s v="Smartphone"/>
    <x v="0"/>
    <x v="132"/>
    <x v="132"/>
  </r>
  <r>
    <x v="4"/>
    <x v="2"/>
    <x v="0"/>
    <s v="Laptop"/>
    <x v="0"/>
    <x v="133"/>
    <x v="133"/>
  </r>
  <r>
    <x v="6"/>
    <x v="0"/>
    <x v="3"/>
    <s v="Tea"/>
    <x v="5"/>
    <x v="134"/>
    <x v="134"/>
  </r>
  <r>
    <x v="11"/>
    <x v="3"/>
    <x v="0"/>
    <s v="Camera"/>
    <x v="0"/>
    <x v="135"/>
    <x v="135"/>
  </r>
  <r>
    <x v="0"/>
    <x v="5"/>
    <x v="3"/>
    <s v="Juice"/>
    <x v="4"/>
    <x v="136"/>
    <x v="136"/>
  </r>
  <r>
    <x v="11"/>
    <x v="4"/>
    <x v="4"/>
    <s v="Microwave"/>
    <x v="4"/>
    <x v="137"/>
    <x v="137"/>
  </r>
  <r>
    <x v="3"/>
    <x v="0"/>
    <x v="1"/>
    <s v="Jeans"/>
    <x v="3"/>
    <x v="138"/>
    <x v="138"/>
  </r>
  <r>
    <x v="2"/>
    <x v="0"/>
    <x v="4"/>
    <s v="Toaster"/>
    <x v="5"/>
    <x v="139"/>
    <x v="139"/>
  </r>
  <r>
    <x v="6"/>
    <x v="0"/>
    <x v="3"/>
    <s v="Snacks"/>
    <x v="4"/>
    <x v="140"/>
    <x v="140"/>
  </r>
  <r>
    <x v="1"/>
    <x v="1"/>
    <x v="0"/>
    <s v="Laptop"/>
    <x v="1"/>
    <x v="141"/>
    <x v="141"/>
  </r>
  <r>
    <x v="5"/>
    <x v="2"/>
    <x v="2"/>
    <s v="Dumbbells"/>
    <x v="3"/>
    <x v="142"/>
    <x v="142"/>
  </r>
  <r>
    <x v="8"/>
    <x v="6"/>
    <x v="3"/>
    <s v="Tea"/>
    <x v="5"/>
    <x v="143"/>
    <x v="143"/>
  </r>
  <r>
    <x v="7"/>
    <x v="3"/>
    <x v="4"/>
    <s v="Toaster"/>
    <x v="0"/>
    <x v="144"/>
    <x v="144"/>
  </r>
  <r>
    <x v="11"/>
    <x v="6"/>
    <x v="3"/>
    <s v="Coffee"/>
    <x v="3"/>
    <x v="145"/>
    <x v="145"/>
  </r>
  <r>
    <x v="5"/>
    <x v="1"/>
    <x v="1"/>
    <s v="Jacket"/>
    <x v="0"/>
    <x v="146"/>
    <x v="146"/>
  </r>
  <r>
    <x v="3"/>
    <x v="0"/>
    <x v="0"/>
    <s v="Laptop"/>
    <x v="3"/>
    <x v="147"/>
    <x v="147"/>
  </r>
  <r>
    <x v="8"/>
    <x v="2"/>
    <x v="3"/>
    <s v="Snacks"/>
    <x v="2"/>
    <x v="148"/>
    <x v="148"/>
  </r>
  <r>
    <x v="9"/>
    <x v="1"/>
    <x v="2"/>
    <s v="Treadmill"/>
    <x v="0"/>
    <x v="149"/>
    <x v="149"/>
  </r>
  <r>
    <x v="4"/>
    <x v="0"/>
    <x v="0"/>
    <s v="Smartphone"/>
    <x v="4"/>
    <x v="150"/>
    <x v="150"/>
  </r>
  <r>
    <x v="9"/>
    <x v="4"/>
    <x v="2"/>
    <s v="Bicycle"/>
    <x v="0"/>
    <x v="151"/>
    <x v="151"/>
  </r>
  <r>
    <x v="0"/>
    <x v="2"/>
    <x v="4"/>
    <s v="Refrigerator"/>
    <x v="2"/>
    <x v="152"/>
    <x v="152"/>
  </r>
  <r>
    <x v="8"/>
    <x v="1"/>
    <x v="4"/>
    <s v="Toaster"/>
    <x v="5"/>
    <x v="153"/>
    <x v="153"/>
  </r>
  <r>
    <x v="0"/>
    <x v="3"/>
    <x v="4"/>
    <s v="Refrigerator"/>
    <x v="1"/>
    <x v="154"/>
    <x v="154"/>
  </r>
  <r>
    <x v="3"/>
    <x v="3"/>
    <x v="1"/>
    <s v="Jacket"/>
    <x v="1"/>
    <x v="155"/>
    <x v="155"/>
  </r>
  <r>
    <x v="8"/>
    <x v="0"/>
    <x v="4"/>
    <s v="Microwave"/>
    <x v="0"/>
    <x v="156"/>
    <x v="156"/>
  </r>
  <r>
    <x v="4"/>
    <x v="2"/>
    <x v="2"/>
    <s v="Treadmill"/>
    <x v="2"/>
    <x v="157"/>
    <x v="157"/>
  </r>
  <r>
    <x v="10"/>
    <x v="1"/>
    <x v="4"/>
    <s v="Refrigerator"/>
    <x v="5"/>
    <x v="158"/>
    <x v="158"/>
  </r>
  <r>
    <x v="2"/>
    <x v="1"/>
    <x v="2"/>
    <s v="Treadmill"/>
    <x v="5"/>
    <x v="159"/>
    <x v="159"/>
  </r>
  <r>
    <x v="7"/>
    <x v="2"/>
    <x v="0"/>
    <s v="Laptop"/>
    <x v="0"/>
    <x v="160"/>
    <x v="160"/>
  </r>
  <r>
    <x v="4"/>
    <x v="3"/>
    <x v="2"/>
    <s v="Bicycle"/>
    <x v="2"/>
    <x v="161"/>
    <x v="161"/>
  </r>
  <r>
    <x v="10"/>
    <x v="4"/>
    <x v="3"/>
    <s v="Tea"/>
    <x v="0"/>
    <x v="162"/>
    <x v="162"/>
  </r>
  <r>
    <x v="8"/>
    <x v="4"/>
    <x v="0"/>
    <s v="Laptop"/>
    <x v="2"/>
    <x v="163"/>
    <x v="163"/>
  </r>
  <r>
    <x v="6"/>
    <x v="3"/>
    <x v="2"/>
    <s v="Dumbbells"/>
    <x v="2"/>
    <x v="164"/>
    <x v="164"/>
  </r>
  <r>
    <x v="11"/>
    <x v="0"/>
    <x v="2"/>
    <s v="Dumbbells"/>
    <x v="4"/>
    <x v="165"/>
    <x v="165"/>
  </r>
  <r>
    <x v="0"/>
    <x v="4"/>
    <x v="2"/>
    <s v="Yoga Mat"/>
    <x v="0"/>
    <x v="166"/>
    <x v="166"/>
  </r>
  <r>
    <x v="4"/>
    <x v="0"/>
    <x v="0"/>
    <s v="Camera"/>
    <x v="5"/>
    <x v="167"/>
    <x v="167"/>
  </r>
  <r>
    <x v="10"/>
    <x v="1"/>
    <x v="3"/>
    <s v="Tea"/>
    <x v="2"/>
    <x v="168"/>
    <x v="168"/>
  </r>
  <r>
    <x v="9"/>
    <x v="4"/>
    <x v="0"/>
    <s v="Headphones"/>
    <x v="0"/>
    <x v="169"/>
    <x v="169"/>
  </r>
  <r>
    <x v="7"/>
    <x v="3"/>
    <x v="2"/>
    <s v="Dumbbells"/>
    <x v="3"/>
    <x v="170"/>
    <x v="170"/>
  </r>
  <r>
    <x v="1"/>
    <x v="3"/>
    <x v="4"/>
    <s v="Microwave"/>
    <x v="0"/>
    <x v="171"/>
    <x v="171"/>
  </r>
  <r>
    <x v="2"/>
    <x v="5"/>
    <x v="1"/>
    <s v="Jeans"/>
    <x v="2"/>
    <x v="172"/>
    <x v="172"/>
  </r>
  <r>
    <x v="2"/>
    <x v="6"/>
    <x v="2"/>
    <s v="Yoga Mat"/>
    <x v="5"/>
    <x v="173"/>
    <x v="173"/>
  </r>
  <r>
    <x v="7"/>
    <x v="6"/>
    <x v="1"/>
    <s v="Jeans"/>
    <x v="3"/>
    <x v="174"/>
    <x v="174"/>
  </r>
  <r>
    <x v="8"/>
    <x v="2"/>
    <x v="0"/>
    <s v="Laptop"/>
    <x v="3"/>
    <x v="175"/>
    <x v="175"/>
  </r>
  <r>
    <x v="4"/>
    <x v="2"/>
    <x v="3"/>
    <s v="Tea"/>
    <x v="0"/>
    <x v="176"/>
    <x v="176"/>
  </r>
  <r>
    <x v="1"/>
    <x v="3"/>
    <x v="4"/>
    <s v="Dishwasher"/>
    <x v="3"/>
    <x v="177"/>
    <x v="177"/>
  </r>
  <r>
    <x v="6"/>
    <x v="4"/>
    <x v="0"/>
    <s v="Camera"/>
    <x v="2"/>
    <x v="178"/>
    <x v="178"/>
  </r>
  <r>
    <x v="9"/>
    <x v="5"/>
    <x v="3"/>
    <s v="Coffee"/>
    <x v="0"/>
    <x v="179"/>
    <x v="179"/>
  </r>
  <r>
    <x v="2"/>
    <x v="5"/>
    <x v="0"/>
    <s v="Headphones"/>
    <x v="0"/>
    <x v="180"/>
    <x v="180"/>
  </r>
  <r>
    <x v="6"/>
    <x v="2"/>
    <x v="2"/>
    <s v="Dumbbells"/>
    <x v="1"/>
    <x v="181"/>
    <x v="181"/>
  </r>
  <r>
    <x v="2"/>
    <x v="1"/>
    <x v="0"/>
    <s v="Camera"/>
    <x v="0"/>
    <x v="182"/>
    <x v="182"/>
  </r>
  <r>
    <x v="6"/>
    <x v="3"/>
    <x v="2"/>
    <s v="Dumbbells"/>
    <x v="4"/>
    <x v="183"/>
    <x v="183"/>
  </r>
  <r>
    <x v="0"/>
    <x v="4"/>
    <x v="1"/>
    <s v="Sweater"/>
    <x v="3"/>
    <x v="184"/>
    <x v="184"/>
  </r>
  <r>
    <x v="9"/>
    <x v="6"/>
    <x v="1"/>
    <s v="Jeans"/>
    <x v="2"/>
    <x v="185"/>
    <x v="185"/>
  </r>
  <r>
    <x v="8"/>
    <x v="4"/>
    <x v="0"/>
    <s v="Headphones"/>
    <x v="1"/>
    <x v="186"/>
    <x v="186"/>
  </r>
  <r>
    <x v="10"/>
    <x v="1"/>
    <x v="0"/>
    <s v="Camera"/>
    <x v="2"/>
    <x v="187"/>
    <x v="187"/>
  </r>
  <r>
    <x v="8"/>
    <x v="3"/>
    <x v="2"/>
    <s v="Dumbbells"/>
    <x v="5"/>
    <x v="188"/>
    <x v="188"/>
  </r>
  <r>
    <x v="6"/>
    <x v="3"/>
    <x v="0"/>
    <s v="Camera"/>
    <x v="4"/>
    <x v="189"/>
    <x v="189"/>
  </r>
  <r>
    <x v="5"/>
    <x v="0"/>
    <x v="3"/>
    <s v="Tea"/>
    <x v="5"/>
    <x v="190"/>
    <x v="190"/>
  </r>
  <r>
    <x v="2"/>
    <x v="4"/>
    <x v="1"/>
    <s v="Jacket"/>
    <x v="0"/>
    <x v="191"/>
    <x v="191"/>
  </r>
  <r>
    <x v="9"/>
    <x v="4"/>
    <x v="1"/>
    <s v="Sweater"/>
    <x v="0"/>
    <x v="192"/>
    <x v="192"/>
  </r>
  <r>
    <x v="10"/>
    <x v="2"/>
    <x v="2"/>
    <s v="Bicycle"/>
    <x v="3"/>
    <x v="193"/>
    <x v="193"/>
  </r>
  <r>
    <x v="3"/>
    <x v="6"/>
    <x v="4"/>
    <s v="Refrigerator"/>
    <x v="0"/>
    <x v="194"/>
    <x v="194"/>
  </r>
  <r>
    <x v="8"/>
    <x v="4"/>
    <x v="1"/>
    <s v="Jacket"/>
    <x v="2"/>
    <x v="195"/>
    <x v="195"/>
  </r>
  <r>
    <x v="5"/>
    <x v="5"/>
    <x v="0"/>
    <s v="Headphones"/>
    <x v="4"/>
    <x v="196"/>
    <x v="196"/>
  </r>
  <r>
    <x v="3"/>
    <x v="3"/>
    <x v="1"/>
    <s v="Jacket"/>
    <x v="5"/>
    <x v="197"/>
    <x v="197"/>
  </r>
  <r>
    <x v="10"/>
    <x v="3"/>
    <x v="3"/>
    <s v="Tea"/>
    <x v="4"/>
    <x v="198"/>
    <x v="198"/>
  </r>
  <r>
    <x v="4"/>
    <x v="0"/>
    <x v="3"/>
    <s v="Snacks"/>
    <x v="4"/>
    <x v="199"/>
    <x v="1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099A8E-C5C9-4B8B-BE7F-F4FFCC0ACC07}"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E3:E4" firstHeaderRow="1" firstDataRow="1" firstDataCol="0"/>
  <pivotFields count="8">
    <pivotField showAll="0"/>
    <pivotField showAll="0"/>
    <pivotField showAll="0"/>
    <pivotField showAll="0"/>
    <pivotField showAll="0"/>
    <pivotField showAll="0">
      <items count="201">
        <item x="151"/>
        <item x="141"/>
        <item x="108"/>
        <item x="17"/>
        <item x="86"/>
        <item x="77"/>
        <item x="184"/>
        <item x="58"/>
        <item x="164"/>
        <item x="102"/>
        <item x="160"/>
        <item x="91"/>
        <item x="153"/>
        <item x="129"/>
        <item x="85"/>
        <item x="126"/>
        <item x="97"/>
        <item x="188"/>
        <item x="12"/>
        <item x="19"/>
        <item x="14"/>
        <item x="30"/>
        <item x="59"/>
        <item x="66"/>
        <item x="81"/>
        <item x="23"/>
        <item x="154"/>
        <item x="137"/>
        <item x="155"/>
        <item x="11"/>
        <item x="120"/>
        <item x="93"/>
        <item x="169"/>
        <item x="28"/>
        <item x="146"/>
        <item x="197"/>
        <item x="190"/>
        <item x="76"/>
        <item x="157"/>
        <item x="0"/>
        <item x="78"/>
        <item x="189"/>
        <item x="187"/>
        <item x="124"/>
        <item x="90"/>
        <item x="45"/>
        <item x="63"/>
        <item x="147"/>
        <item x="5"/>
        <item x="20"/>
        <item x="62"/>
        <item x="114"/>
        <item x="104"/>
        <item x="46"/>
        <item x="53"/>
        <item x="7"/>
        <item x="33"/>
        <item x="70"/>
        <item x="80"/>
        <item x="68"/>
        <item x="130"/>
        <item x="50"/>
        <item x="194"/>
        <item x="8"/>
        <item x="144"/>
        <item x="3"/>
        <item x="37"/>
        <item x="112"/>
        <item x="15"/>
        <item x="149"/>
        <item x="22"/>
        <item x="98"/>
        <item x="172"/>
        <item x="134"/>
        <item x="94"/>
        <item x="52"/>
        <item x="18"/>
        <item x="101"/>
        <item x="171"/>
        <item x="139"/>
        <item x="71"/>
        <item x="40"/>
        <item x="31"/>
        <item x="152"/>
        <item x="79"/>
        <item x="34"/>
        <item x="142"/>
        <item x="143"/>
        <item x="128"/>
        <item x="138"/>
        <item x="176"/>
        <item x="170"/>
        <item x="87"/>
        <item x="161"/>
        <item x="163"/>
        <item x="168"/>
        <item x="123"/>
        <item x="198"/>
        <item x="179"/>
        <item x="89"/>
        <item x="95"/>
        <item x="158"/>
        <item x="82"/>
        <item x="103"/>
        <item x="109"/>
        <item x="121"/>
        <item x="173"/>
        <item x="196"/>
        <item x="24"/>
        <item x="88"/>
        <item x="48"/>
        <item x="55"/>
        <item x="135"/>
        <item x="83"/>
        <item x="44"/>
        <item x="136"/>
        <item x="166"/>
        <item x="35"/>
        <item x="72"/>
        <item x="140"/>
        <item x="29"/>
        <item x="73"/>
        <item x="156"/>
        <item x="99"/>
        <item x="131"/>
        <item x="84"/>
        <item x="6"/>
        <item x="26"/>
        <item x="105"/>
        <item x="67"/>
        <item x="13"/>
        <item x="27"/>
        <item x="42"/>
        <item x="38"/>
        <item x="118"/>
        <item x="132"/>
        <item x="111"/>
        <item x="69"/>
        <item x="75"/>
        <item x="10"/>
        <item x="185"/>
        <item x="186"/>
        <item x="113"/>
        <item x="41"/>
        <item x="177"/>
        <item x="180"/>
        <item x="195"/>
        <item x="47"/>
        <item x="165"/>
        <item x="181"/>
        <item x="145"/>
        <item x="60"/>
        <item x="110"/>
        <item x="115"/>
        <item x="182"/>
        <item x="106"/>
        <item x="116"/>
        <item x="61"/>
        <item x="36"/>
        <item x="191"/>
        <item x="127"/>
        <item x="65"/>
        <item x="122"/>
        <item x="183"/>
        <item x="96"/>
        <item x="21"/>
        <item x="25"/>
        <item x="133"/>
        <item x="74"/>
        <item x="1"/>
        <item x="16"/>
        <item x="175"/>
        <item x="92"/>
        <item x="125"/>
        <item x="199"/>
        <item x="49"/>
        <item x="148"/>
        <item x="192"/>
        <item x="4"/>
        <item x="117"/>
        <item x="162"/>
        <item x="51"/>
        <item x="64"/>
        <item x="167"/>
        <item x="2"/>
        <item x="57"/>
        <item x="159"/>
        <item x="100"/>
        <item x="178"/>
        <item x="119"/>
        <item x="32"/>
        <item x="174"/>
        <item x="107"/>
        <item x="56"/>
        <item x="39"/>
        <item x="193"/>
        <item x="54"/>
        <item x="150"/>
        <item x="43"/>
        <item x="9"/>
        <item t="default"/>
      </items>
    </pivotField>
    <pivotField showAll="0"/>
    <pivotField dataField="1" dragToRow="0" dragToCol="0" dragToPage="0" showAll="0" defaultSubtotal="0"/>
  </pivotFields>
  <rowItems count="1">
    <i/>
  </rowItems>
  <colItems count="1">
    <i/>
  </colItems>
  <dataFields count="1">
    <dataField name="Sum of profit ratio" fld="7" baseField="0" baseItem="0" numFmtId="9"/>
  </dataFields>
  <formats count="1">
    <format dxfId="10">
      <pivotArea outline="0" collapsedLevelsAreSubtotals="1"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25896F-FFC9-4D0C-9545-ECFA94509C72}"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3:B50" firstHeaderRow="1" firstDataRow="1" firstDataCol="1"/>
  <pivotFields count="8">
    <pivotField showAll="0"/>
    <pivotField showAll="0">
      <items count="8">
        <item x="5"/>
        <item x="3"/>
        <item x="4"/>
        <item x="0"/>
        <item x="2"/>
        <item x="1"/>
        <item x="6"/>
        <item t="default"/>
      </items>
    </pivotField>
    <pivotField showAll="0">
      <items count="6">
        <item x="1"/>
        <item x="0"/>
        <item x="3"/>
        <item x="4"/>
        <item x="2"/>
        <item t="default"/>
      </items>
    </pivotField>
    <pivotField showAll="0"/>
    <pivotField axis="axisRow" showAll="0">
      <items count="7">
        <item x="0"/>
        <item x="3"/>
        <item x="4"/>
        <item x="2"/>
        <item x="5"/>
        <item x="1"/>
        <item t="default"/>
      </items>
    </pivotField>
    <pivotField dataField="1" showAll="0">
      <items count="201">
        <item x="151"/>
        <item x="141"/>
        <item x="108"/>
        <item x="17"/>
        <item x="86"/>
        <item x="77"/>
        <item x="184"/>
        <item x="58"/>
        <item x="164"/>
        <item x="102"/>
        <item x="160"/>
        <item x="91"/>
        <item x="153"/>
        <item x="129"/>
        <item x="85"/>
        <item x="126"/>
        <item x="97"/>
        <item x="188"/>
        <item x="12"/>
        <item x="19"/>
        <item x="14"/>
        <item x="30"/>
        <item x="59"/>
        <item x="66"/>
        <item x="81"/>
        <item x="23"/>
        <item x="154"/>
        <item x="137"/>
        <item x="155"/>
        <item x="11"/>
        <item x="120"/>
        <item x="93"/>
        <item x="169"/>
        <item x="28"/>
        <item x="146"/>
        <item x="197"/>
        <item x="190"/>
        <item x="76"/>
        <item x="157"/>
        <item x="0"/>
        <item x="78"/>
        <item x="189"/>
        <item x="187"/>
        <item x="124"/>
        <item x="90"/>
        <item x="45"/>
        <item x="63"/>
        <item x="147"/>
        <item x="5"/>
        <item x="20"/>
        <item x="62"/>
        <item x="114"/>
        <item x="104"/>
        <item x="46"/>
        <item x="53"/>
        <item x="7"/>
        <item x="33"/>
        <item x="70"/>
        <item x="80"/>
        <item x="68"/>
        <item x="130"/>
        <item x="50"/>
        <item x="194"/>
        <item x="8"/>
        <item x="144"/>
        <item x="3"/>
        <item x="37"/>
        <item x="112"/>
        <item x="15"/>
        <item x="149"/>
        <item x="22"/>
        <item x="98"/>
        <item x="172"/>
        <item x="134"/>
        <item x="94"/>
        <item x="52"/>
        <item x="18"/>
        <item x="101"/>
        <item x="171"/>
        <item x="139"/>
        <item x="71"/>
        <item x="40"/>
        <item x="31"/>
        <item x="152"/>
        <item x="79"/>
        <item x="34"/>
        <item x="142"/>
        <item x="143"/>
        <item x="128"/>
        <item x="138"/>
        <item x="176"/>
        <item x="170"/>
        <item x="87"/>
        <item x="161"/>
        <item x="163"/>
        <item x="168"/>
        <item x="123"/>
        <item x="198"/>
        <item x="179"/>
        <item x="89"/>
        <item x="95"/>
        <item x="158"/>
        <item x="82"/>
        <item x="103"/>
        <item x="109"/>
        <item x="121"/>
        <item x="173"/>
        <item x="196"/>
        <item x="24"/>
        <item x="88"/>
        <item x="48"/>
        <item x="55"/>
        <item x="135"/>
        <item x="83"/>
        <item x="44"/>
        <item x="136"/>
        <item x="166"/>
        <item x="35"/>
        <item x="72"/>
        <item x="140"/>
        <item x="29"/>
        <item x="73"/>
        <item x="156"/>
        <item x="99"/>
        <item x="131"/>
        <item x="84"/>
        <item x="6"/>
        <item x="26"/>
        <item x="105"/>
        <item x="67"/>
        <item x="13"/>
        <item x="27"/>
        <item x="42"/>
        <item x="38"/>
        <item x="118"/>
        <item x="132"/>
        <item x="111"/>
        <item x="69"/>
        <item x="75"/>
        <item x="10"/>
        <item x="185"/>
        <item x="186"/>
        <item x="113"/>
        <item x="41"/>
        <item x="177"/>
        <item x="180"/>
        <item x="195"/>
        <item x="47"/>
        <item x="165"/>
        <item x="181"/>
        <item x="145"/>
        <item x="60"/>
        <item x="110"/>
        <item x="115"/>
        <item x="182"/>
        <item x="106"/>
        <item x="116"/>
        <item x="61"/>
        <item x="36"/>
        <item x="191"/>
        <item x="127"/>
        <item x="65"/>
        <item x="122"/>
        <item x="183"/>
        <item x="96"/>
        <item x="21"/>
        <item x="25"/>
        <item x="133"/>
        <item x="74"/>
        <item x="1"/>
        <item x="16"/>
        <item x="175"/>
        <item x="92"/>
        <item x="125"/>
        <item x="199"/>
        <item x="49"/>
        <item x="148"/>
        <item x="192"/>
        <item x="4"/>
        <item x="117"/>
        <item x="162"/>
        <item x="51"/>
        <item x="64"/>
        <item x="167"/>
        <item x="2"/>
        <item x="57"/>
        <item x="159"/>
        <item x="100"/>
        <item x="178"/>
        <item x="119"/>
        <item x="32"/>
        <item x="174"/>
        <item x="107"/>
        <item x="56"/>
        <item x="39"/>
        <item x="193"/>
        <item x="54"/>
        <item x="150"/>
        <item x="43"/>
        <item x="9"/>
        <item t="default"/>
      </items>
    </pivotField>
    <pivotField showAll="0"/>
    <pivotField dragToRow="0" dragToCol="0" dragToPage="0" showAll="0" defaultSubtotal="0"/>
  </pivotFields>
  <rowFields count="1">
    <field x="4"/>
  </rowFields>
  <rowItems count="7">
    <i>
      <x/>
    </i>
    <i>
      <x v="1"/>
    </i>
    <i>
      <x v="2"/>
    </i>
    <i>
      <x v="3"/>
    </i>
    <i>
      <x v="4"/>
    </i>
    <i>
      <x v="5"/>
    </i>
    <i t="grand">
      <x/>
    </i>
  </rowItems>
  <colItems count="1">
    <i/>
  </colItems>
  <dataFields count="1">
    <dataField name="Sum of Sales" fld="5" baseField="0" baseItem="0" numFmtId="41"/>
  </dataFields>
  <formats count="2">
    <format dxfId="15">
      <pivotArea outline="0" collapsedLevelsAreSubtotals="1" fieldPosition="0"/>
    </format>
    <format dxfId="1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CF305D-6C20-4F5A-AA3C-3FB0683CE5DC}"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1:C38" firstHeaderRow="0" firstDataRow="1" firstDataCol="1"/>
  <pivotFields count="8">
    <pivotField showAll="0"/>
    <pivotField axis="axisRow" showAll="0">
      <items count="8">
        <item h="1" x="5"/>
        <item x="3"/>
        <item x="4"/>
        <item x="0"/>
        <item x="2"/>
        <item x="1"/>
        <item x="6"/>
        <item t="default"/>
      </items>
    </pivotField>
    <pivotField showAll="0">
      <items count="6">
        <item x="1"/>
        <item x="0"/>
        <item x="3"/>
        <item x="4"/>
        <item x="2"/>
        <item t="default"/>
      </items>
    </pivotField>
    <pivotField showAll="0"/>
    <pivotField showAll="0">
      <items count="7">
        <item x="0"/>
        <item x="3"/>
        <item x="4"/>
        <item x="2"/>
        <item x="5"/>
        <item x="1"/>
        <item t="default"/>
      </items>
    </pivotField>
    <pivotField dataField="1" showAll="0">
      <items count="201">
        <item x="151"/>
        <item x="141"/>
        <item x="108"/>
        <item x="17"/>
        <item x="86"/>
        <item x="77"/>
        <item x="184"/>
        <item x="58"/>
        <item x="164"/>
        <item x="102"/>
        <item x="160"/>
        <item x="91"/>
        <item x="153"/>
        <item x="129"/>
        <item x="85"/>
        <item x="126"/>
        <item x="97"/>
        <item x="188"/>
        <item x="12"/>
        <item x="19"/>
        <item x="14"/>
        <item x="30"/>
        <item x="59"/>
        <item x="66"/>
        <item x="81"/>
        <item x="23"/>
        <item x="154"/>
        <item x="137"/>
        <item x="155"/>
        <item x="11"/>
        <item x="120"/>
        <item x="93"/>
        <item x="169"/>
        <item x="28"/>
        <item x="146"/>
        <item x="197"/>
        <item x="190"/>
        <item x="76"/>
        <item x="157"/>
        <item x="0"/>
        <item x="78"/>
        <item x="189"/>
        <item x="187"/>
        <item x="124"/>
        <item x="90"/>
        <item x="45"/>
        <item x="63"/>
        <item x="147"/>
        <item x="5"/>
        <item x="20"/>
        <item x="62"/>
        <item x="114"/>
        <item x="104"/>
        <item x="46"/>
        <item x="53"/>
        <item x="7"/>
        <item x="33"/>
        <item x="70"/>
        <item x="80"/>
        <item x="68"/>
        <item x="130"/>
        <item x="50"/>
        <item x="194"/>
        <item x="8"/>
        <item x="144"/>
        <item x="3"/>
        <item x="37"/>
        <item x="112"/>
        <item x="15"/>
        <item x="149"/>
        <item x="22"/>
        <item x="98"/>
        <item x="172"/>
        <item x="134"/>
        <item x="94"/>
        <item x="52"/>
        <item x="18"/>
        <item x="101"/>
        <item x="171"/>
        <item x="139"/>
        <item x="71"/>
        <item x="40"/>
        <item x="31"/>
        <item x="152"/>
        <item x="79"/>
        <item x="34"/>
        <item x="142"/>
        <item x="143"/>
        <item x="128"/>
        <item x="138"/>
        <item x="176"/>
        <item x="170"/>
        <item x="87"/>
        <item x="161"/>
        <item x="163"/>
        <item x="168"/>
        <item x="123"/>
        <item x="198"/>
        <item x="179"/>
        <item x="89"/>
        <item x="95"/>
        <item x="158"/>
        <item x="82"/>
        <item x="103"/>
        <item x="109"/>
        <item x="121"/>
        <item x="173"/>
        <item x="196"/>
        <item x="24"/>
        <item x="88"/>
        <item x="48"/>
        <item x="55"/>
        <item x="135"/>
        <item x="83"/>
        <item x="44"/>
        <item x="136"/>
        <item x="166"/>
        <item x="35"/>
        <item x="72"/>
        <item x="140"/>
        <item x="29"/>
        <item x="73"/>
        <item x="156"/>
        <item x="99"/>
        <item x="131"/>
        <item x="84"/>
        <item x="6"/>
        <item x="26"/>
        <item x="105"/>
        <item x="67"/>
        <item x="13"/>
        <item x="27"/>
        <item x="42"/>
        <item x="38"/>
        <item x="118"/>
        <item x="132"/>
        <item x="111"/>
        <item x="69"/>
        <item x="75"/>
        <item x="10"/>
        <item x="185"/>
        <item x="186"/>
        <item x="113"/>
        <item x="41"/>
        <item x="177"/>
        <item x="180"/>
        <item x="195"/>
        <item x="47"/>
        <item x="165"/>
        <item x="181"/>
        <item x="145"/>
        <item x="60"/>
        <item x="110"/>
        <item x="115"/>
        <item x="182"/>
        <item x="106"/>
        <item x="116"/>
        <item x="61"/>
        <item x="36"/>
        <item x="191"/>
        <item x="127"/>
        <item x="65"/>
        <item x="122"/>
        <item x="183"/>
        <item x="96"/>
        <item x="21"/>
        <item x="25"/>
        <item x="133"/>
        <item x="74"/>
        <item x="1"/>
        <item x="16"/>
        <item x="175"/>
        <item x="92"/>
        <item x="125"/>
        <item x="199"/>
        <item x="49"/>
        <item x="148"/>
        <item x="192"/>
        <item x="4"/>
        <item x="117"/>
        <item x="162"/>
        <item x="51"/>
        <item x="64"/>
        <item x="167"/>
        <item x="2"/>
        <item x="57"/>
        <item x="159"/>
        <item x="100"/>
        <item x="178"/>
        <item x="119"/>
        <item x="32"/>
        <item x="174"/>
        <item x="107"/>
        <item x="56"/>
        <item x="39"/>
        <item x="193"/>
        <item x="54"/>
        <item x="150"/>
        <item x="43"/>
        <item x="9"/>
        <item t="default"/>
      </items>
    </pivotField>
    <pivotField dataField="1" showAll="0"/>
    <pivotField dragToRow="0" dragToCol="0" dragToPage="0" showAll="0" defaultSubtotal="0"/>
  </pivotFields>
  <rowFields count="1">
    <field x="1"/>
  </rowFields>
  <rowItems count="7">
    <i>
      <x v="1"/>
    </i>
    <i>
      <x v="2"/>
    </i>
    <i>
      <x v="3"/>
    </i>
    <i>
      <x v="4"/>
    </i>
    <i>
      <x v="5"/>
    </i>
    <i>
      <x v="6"/>
    </i>
    <i t="grand">
      <x/>
    </i>
  </rowItems>
  <colFields count="1">
    <field x="-2"/>
  </colFields>
  <colItems count="2">
    <i>
      <x/>
    </i>
    <i i="1">
      <x v="1"/>
    </i>
  </colItems>
  <dataFields count="2">
    <dataField name="Sales  " fld="5" baseField="1" baseItem="0"/>
    <dataField name="Profit " fld="6" baseField="1" baseItem="0"/>
  </dataFields>
  <formats count="2">
    <format dxfId="17">
      <pivotArea dataOnly="0" outline="0" fieldPosition="0">
        <references count="1">
          <reference field="4294967294" count="1">
            <x v="1"/>
          </reference>
        </references>
      </pivotArea>
    </format>
    <format dxfId="16">
      <pivotArea dataOnly="0" outline="0" fieldPosition="0">
        <references count="1">
          <reference field="4294967294" count="1">
            <x v="0"/>
          </reference>
        </references>
      </pivotArea>
    </format>
  </formats>
  <chartFormats count="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B9899C-3F1D-401D-9F9C-AE1289BFD324}"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22:C28" firstHeaderRow="0" firstDataRow="1" firstDataCol="1"/>
  <pivotFields count="8">
    <pivotField showAll="0"/>
    <pivotField showAll="0"/>
    <pivotField axis="axisRow" showAll="0">
      <items count="6">
        <item x="1"/>
        <item x="0"/>
        <item x="3"/>
        <item x="4"/>
        <item x="2"/>
        <item t="default"/>
      </items>
    </pivotField>
    <pivotField showAll="0"/>
    <pivotField showAll="0"/>
    <pivotField dataField="1" showAll="0">
      <items count="201">
        <item x="151"/>
        <item x="141"/>
        <item x="108"/>
        <item x="17"/>
        <item x="86"/>
        <item x="77"/>
        <item x="184"/>
        <item x="58"/>
        <item x="164"/>
        <item x="102"/>
        <item x="160"/>
        <item x="91"/>
        <item x="153"/>
        <item x="129"/>
        <item x="85"/>
        <item x="126"/>
        <item x="97"/>
        <item x="188"/>
        <item x="12"/>
        <item x="19"/>
        <item x="14"/>
        <item x="30"/>
        <item x="59"/>
        <item x="66"/>
        <item x="81"/>
        <item x="23"/>
        <item x="154"/>
        <item x="137"/>
        <item x="155"/>
        <item x="11"/>
        <item x="120"/>
        <item x="93"/>
        <item x="169"/>
        <item x="28"/>
        <item x="146"/>
        <item x="197"/>
        <item x="190"/>
        <item x="76"/>
        <item x="157"/>
        <item x="0"/>
        <item x="78"/>
        <item x="189"/>
        <item x="187"/>
        <item x="124"/>
        <item x="90"/>
        <item x="45"/>
        <item x="63"/>
        <item x="147"/>
        <item x="5"/>
        <item x="20"/>
        <item x="62"/>
        <item x="114"/>
        <item x="104"/>
        <item x="46"/>
        <item x="53"/>
        <item x="7"/>
        <item x="33"/>
        <item x="70"/>
        <item x="80"/>
        <item x="68"/>
        <item x="130"/>
        <item x="50"/>
        <item x="194"/>
        <item x="8"/>
        <item x="144"/>
        <item x="3"/>
        <item x="37"/>
        <item x="112"/>
        <item x="15"/>
        <item x="149"/>
        <item x="22"/>
        <item x="98"/>
        <item x="172"/>
        <item x="134"/>
        <item x="94"/>
        <item x="52"/>
        <item x="18"/>
        <item x="101"/>
        <item x="171"/>
        <item x="139"/>
        <item x="71"/>
        <item x="40"/>
        <item x="31"/>
        <item x="152"/>
        <item x="79"/>
        <item x="34"/>
        <item x="142"/>
        <item x="143"/>
        <item x="128"/>
        <item x="138"/>
        <item x="176"/>
        <item x="170"/>
        <item x="87"/>
        <item x="161"/>
        <item x="163"/>
        <item x="168"/>
        <item x="123"/>
        <item x="198"/>
        <item x="179"/>
        <item x="89"/>
        <item x="95"/>
        <item x="158"/>
        <item x="82"/>
        <item x="103"/>
        <item x="109"/>
        <item x="121"/>
        <item x="173"/>
        <item x="196"/>
        <item x="24"/>
        <item x="88"/>
        <item x="48"/>
        <item x="55"/>
        <item x="135"/>
        <item x="83"/>
        <item x="44"/>
        <item x="136"/>
        <item x="166"/>
        <item x="35"/>
        <item x="72"/>
        <item x="140"/>
        <item x="29"/>
        <item x="73"/>
        <item x="156"/>
        <item x="99"/>
        <item x="131"/>
        <item x="84"/>
        <item x="6"/>
        <item x="26"/>
        <item x="105"/>
        <item x="67"/>
        <item x="13"/>
        <item x="27"/>
        <item x="42"/>
        <item x="38"/>
        <item x="118"/>
        <item x="132"/>
        <item x="111"/>
        <item x="69"/>
        <item x="75"/>
        <item x="10"/>
        <item x="185"/>
        <item x="186"/>
        <item x="113"/>
        <item x="41"/>
        <item x="177"/>
        <item x="180"/>
        <item x="195"/>
        <item x="47"/>
        <item x="165"/>
        <item x="181"/>
        <item x="145"/>
        <item x="60"/>
        <item x="110"/>
        <item x="115"/>
        <item x="182"/>
        <item x="106"/>
        <item x="116"/>
        <item x="61"/>
        <item x="36"/>
        <item x="191"/>
        <item x="127"/>
        <item x="65"/>
        <item x="122"/>
        <item x="183"/>
        <item x="96"/>
        <item x="21"/>
        <item x="25"/>
        <item x="133"/>
        <item x="74"/>
        <item x="1"/>
        <item x="16"/>
        <item x="175"/>
        <item x="92"/>
        <item x="125"/>
        <item x="199"/>
        <item x="49"/>
        <item x="148"/>
        <item x="192"/>
        <item x="4"/>
        <item x="117"/>
        <item x="162"/>
        <item x="51"/>
        <item x="64"/>
        <item x="167"/>
        <item x="2"/>
        <item x="57"/>
        <item x="159"/>
        <item x="100"/>
        <item x="178"/>
        <item x="119"/>
        <item x="32"/>
        <item x="174"/>
        <item x="107"/>
        <item x="56"/>
        <item x="39"/>
        <item x="193"/>
        <item x="54"/>
        <item x="150"/>
        <item x="43"/>
        <item x="9"/>
        <item t="default"/>
      </items>
    </pivotField>
    <pivotField dataField="1" showAll="0">
      <items count="201">
        <item x="12"/>
        <item x="130"/>
        <item x="188"/>
        <item x="78"/>
        <item x="151"/>
        <item x="58"/>
        <item x="110"/>
        <item x="108"/>
        <item x="126"/>
        <item x="141"/>
        <item x="86"/>
        <item x="190"/>
        <item x="5"/>
        <item x="77"/>
        <item x="134"/>
        <item x="120"/>
        <item x="164"/>
        <item x="184"/>
        <item x="139"/>
        <item x="73"/>
        <item x="60"/>
        <item x="147"/>
        <item x="152"/>
        <item x="20"/>
        <item x="91"/>
        <item x="153"/>
        <item x="29"/>
        <item x="63"/>
        <item x="167"/>
        <item x="17"/>
        <item x="160"/>
        <item x="59"/>
        <item x="131"/>
        <item x="3"/>
        <item x="97"/>
        <item x="102"/>
        <item x="84"/>
        <item x="33"/>
        <item x="30"/>
        <item x="169"/>
        <item x="129"/>
        <item x="179"/>
        <item x="135"/>
        <item x="187"/>
        <item x="15"/>
        <item x="85"/>
        <item x="27"/>
        <item x="140"/>
        <item x="7"/>
        <item x="155"/>
        <item x="50"/>
        <item x="76"/>
        <item x="154"/>
        <item x="101"/>
        <item x="72"/>
        <item x="88"/>
        <item x="6"/>
        <item x="23"/>
        <item x="42"/>
        <item x="136"/>
        <item x="16"/>
        <item x="146"/>
        <item x="95"/>
        <item x="107"/>
        <item x="156"/>
        <item x="19"/>
        <item x="142"/>
        <item x="149"/>
        <item x="127"/>
        <item x="71"/>
        <item x="100"/>
        <item x="109"/>
        <item x="172"/>
        <item x="137"/>
        <item x="94"/>
        <item x="93"/>
        <item x="124"/>
        <item x="199"/>
        <item x="81"/>
        <item x="14"/>
        <item x="46"/>
        <item x="8"/>
        <item x="64"/>
        <item x="66"/>
        <item x="104"/>
        <item x="83"/>
        <item x="157"/>
        <item x="183"/>
        <item x="98"/>
        <item x="194"/>
        <item x="11"/>
        <item x="44"/>
        <item x="114"/>
        <item x="0"/>
        <item x="198"/>
        <item x="28"/>
        <item x="163"/>
        <item x="191"/>
        <item x="197"/>
        <item x="53"/>
        <item x="37"/>
        <item x="143"/>
        <item x="193"/>
        <item x="62"/>
        <item x="55"/>
        <item x="144"/>
        <item x="111"/>
        <item x="103"/>
        <item x="45"/>
        <item x="189"/>
        <item x="90"/>
        <item x="138"/>
        <item x="22"/>
        <item x="113"/>
        <item x="80"/>
        <item x="182"/>
        <item x="34"/>
        <item x="31"/>
        <item x="35"/>
        <item x="171"/>
        <item x="52"/>
        <item x="68"/>
        <item x="87"/>
        <item x="70"/>
        <item x="195"/>
        <item x="112"/>
        <item x="89"/>
        <item x="123"/>
        <item x="133"/>
        <item x="170"/>
        <item x="79"/>
        <item x="13"/>
        <item x="181"/>
        <item x="4"/>
        <item x="128"/>
        <item x="96"/>
        <item x="158"/>
        <item x="196"/>
        <item x="161"/>
        <item x="186"/>
        <item x="18"/>
        <item x="116"/>
        <item x="40"/>
        <item x="32"/>
        <item x="24"/>
        <item x="159"/>
        <item x="115"/>
        <item x="168"/>
        <item x="119"/>
        <item x="176"/>
        <item x="132"/>
        <item x="121"/>
        <item x="106"/>
        <item x="173"/>
        <item x="82"/>
        <item x="39"/>
        <item x="38"/>
        <item x="26"/>
        <item x="166"/>
        <item x="51"/>
        <item x="10"/>
        <item x="117"/>
        <item x="48"/>
        <item x="99"/>
        <item x="125"/>
        <item x="57"/>
        <item x="118"/>
        <item x="49"/>
        <item x="92"/>
        <item x="41"/>
        <item x="180"/>
        <item x="67"/>
        <item x="36"/>
        <item x="69"/>
        <item x="65"/>
        <item x="105"/>
        <item x="2"/>
        <item x="61"/>
        <item x="47"/>
        <item x="75"/>
        <item x="175"/>
        <item x="185"/>
        <item x="148"/>
        <item x="165"/>
        <item x="177"/>
        <item x="174"/>
        <item x="25"/>
        <item x="21"/>
        <item x="122"/>
        <item x="74"/>
        <item x="145"/>
        <item x="9"/>
        <item x="192"/>
        <item x="1"/>
        <item x="150"/>
        <item x="178"/>
        <item x="162"/>
        <item x="56"/>
        <item x="43"/>
        <item x="54"/>
        <item t="default"/>
      </items>
    </pivotField>
    <pivotField dragToRow="0" dragToCol="0" dragToPage="0" showAll="0" defaultSubtotal="0"/>
  </pivotFields>
  <rowFields count="1">
    <field x="2"/>
  </rowFields>
  <rowItems count="6">
    <i>
      <x/>
    </i>
    <i>
      <x v="1"/>
    </i>
    <i>
      <x v="2"/>
    </i>
    <i>
      <x v="3"/>
    </i>
    <i>
      <x v="4"/>
    </i>
    <i t="grand">
      <x/>
    </i>
  </rowItems>
  <colFields count="1">
    <field x="-2"/>
  </colFields>
  <colItems count="2">
    <i>
      <x/>
    </i>
    <i i="1">
      <x v="1"/>
    </i>
  </colItems>
  <dataFields count="2">
    <dataField name="Sales  " fld="5" baseField="2" baseItem="0"/>
    <dataField name="Profit " fld="6" baseField="2" baseItem="0"/>
  </dataFields>
  <formats count="2">
    <format dxfId="19">
      <pivotArea dataOnly="0" outline="0" fieldPosition="0">
        <references count="1">
          <reference field="4294967294" count="1">
            <x v="1"/>
          </reference>
        </references>
      </pivotArea>
    </format>
    <format dxfId="18">
      <pivotArea dataOnly="0" outline="0" fieldPosition="0">
        <references count="1">
          <reference field="4294967294" count="1">
            <x v="0"/>
          </reference>
        </references>
      </pivotArea>
    </format>
  </formats>
  <chartFormats count="4">
    <chartFormat chart="20"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1"/>
          </reference>
        </references>
      </pivotArea>
    </chartFormat>
    <chartFormat chart="24" format="4"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0284636-C805-4C18-BB8D-EA7C6E2A3BBA}"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7:C20" firstHeaderRow="0" firstDataRow="1" firstDataCol="1"/>
  <pivotFields count="8">
    <pivotField axis="axisRow" showAll="0">
      <items count="13">
        <item x="6"/>
        <item x="4"/>
        <item x="5"/>
        <item x="8"/>
        <item x="0"/>
        <item x="2"/>
        <item x="7"/>
        <item x="9"/>
        <item x="11"/>
        <item x="10"/>
        <item x="1"/>
        <item x="3"/>
        <item t="default"/>
      </items>
    </pivotField>
    <pivotField showAll="0"/>
    <pivotField showAll="0"/>
    <pivotField showAll="0"/>
    <pivotField showAll="0"/>
    <pivotField dataField="1" showAll="0">
      <items count="201">
        <item x="151"/>
        <item x="141"/>
        <item x="108"/>
        <item x="17"/>
        <item x="86"/>
        <item x="77"/>
        <item x="184"/>
        <item x="58"/>
        <item x="164"/>
        <item x="102"/>
        <item x="160"/>
        <item x="91"/>
        <item x="153"/>
        <item x="129"/>
        <item x="85"/>
        <item x="126"/>
        <item x="97"/>
        <item x="188"/>
        <item x="12"/>
        <item x="19"/>
        <item x="14"/>
        <item x="30"/>
        <item x="59"/>
        <item x="66"/>
        <item x="81"/>
        <item x="23"/>
        <item x="154"/>
        <item x="137"/>
        <item x="155"/>
        <item x="11"/>
        <item x="120"/>
        <item x="93"/>
        <item x="169"/>
        <item x="28"/>
        <item x="146"/>
        <item x="197"/>
        <item x="190"/>
        <item x="76"/>
        <item x="157"/>
        <item x="0"/>
        <item x="78"/>
        <item x="189"/>
        <item x="187"/>
        <item x="124"/>
        <item x="90"/>
        <item x="45"/>
        <item x="63"/>
        <item x="147"/>
        <item x="5"/>
        <item x="20"/>
        <item x="62"/>
        <item x="114"/>
        <item x="104"/>
        <item x="46"/>
        <item x="53"/>
        <item x="7"/>
        <item x="33"/>
        <item x="70"/>
        <item x="80"/>
        <item x="68"/>
        <item x="130"/>
        <item x="50"/>
        <item x="194"/>
        <item x="8"/>
        <item x="144"/>
        <item x="3"/>
        <item x="37"/>
        <item x="112"/>
        <item x="15"/>
        <item x="149"/>
        <item x="22"/>
        <item x="98"/>
        <item x="172"/>
        <item x="134"/>
        <item x="94"/>
        <item x="52"/>
        <item x="18"/>
        <item x="101"/>
        <item x="171"/>
        <item x="139"/>
        <item x="71"/>
        <item x="40"/>
        <item x="31"/>
        <item x="152"/>
        <item x="79"/>
        <item x="34"/>
        <item x="142"/>
        <item x="143"/>
        <item x="128"/>
        <item x="138"/>
        <item x="176"/>
        <item x="170"/>
        <item x="87"/>
        <item x="161"/>
        <item x="163"/>
        <item x="168"/>
        <item x="123"/>
        <item x="198"/>
        <item x="179"/>
        <item x="89"/>
        <item x="95"/>
        <item x="158"/>
        <item x="82"/>
        <item x="103"/>
        <item x="109"/>
        <item x="121"/>
        <item x="173"/>
        <item x="196"/>
        <item x="24"/>
        <item x="88"/>
        <item x="48"/>
        <item x="55"/>
        <item x="135"/>
        <item x="83"/>
        <item x="44"/>
        <item x="136"/>
        <item x="166"/>
        <item x="35"/>
        <item x="72"/>
        <item x="140"/>
        <item x="29"/>
        <item x="73"/>
        <item x="156"/>
        <item x="99"/>
        <item x="131"/>
        <item x="84"/>
        <item x="6"/>
        <item x="26"/>
        <item x="105"/>
        <item x="67"/>
        <item x="13"/>
        <item x="27"/>
        <item x="42"/>
        <item x="38"/>
        <item x="118"/>
        <item x="132"/>
        <item x="111"/>
        <item x="69"/>
        <item x="75"/>
        <item x="10"/>
        <item x="185"/>
        <item x="186"/>
        <item x="113"/>
        <item x="41"/>
        <item x="177"/>
        <item x="180"/>
        <item x="195"/>
        <item x="47"/>
        <item x="165"/>
        <item x="181"/>
        <item x="145"/>
        <item x="60"/>
        <item x="110"/>
        <item x="115"/>
        <item x="182"/>
        <item x="106"/>
        <item x="116"/>
        <item x="61"/>
        <item x="36"/>
        <item x="191"/>
        <item x="127"/>
        <item x="65"/>
        <item x="122"/>
        <item x="183"/>
        <item x="96"/>
        <item x="21"/>
        <item x="25"/>
        <item x="133"/>
        <item x="74"/>
        <item x="1"/>
        <item x="16"/>
        <item x="175"/>
        <item x="92"/>
        <item x="125"/>
        <item x="199"/>
        <item x="49"/>
        <item x="148"/>
        <item x="192"/>
        <item x="4"/>
        <item x="117"/>
        <item x="162"/>
        <item x="51"/>
        <item x="64"/>
        <item x="167"/>
        <item x="2"/>
        <item x="57"/>
        <item x="159"/>
        <item x="100"/>
        <item x="178"/>
        <item x="119"/>
        <item x="32"/>
        <item x="174"/>
        <item x="107"/>
        <item x="56"/>
        <item x="39"/>
        <item x="193"/>
        <item x="54"/>
        <item x="150"/>
        <item x="43"/>
        <item x="9"/>
        <item t="default"/>
      </items>
    </pivotField>
    <pivotField dataField="1" showAll="0">
      <items count="201">
        <item x="12"/>
        <item x="130"/>
        <item x="188"/>
        <item x="78"/>
        <item x="151"/>
        <item x="58"/>
        <item x="110"/>
        <item x="108"/>
        <item x="126"/>
        <item x="141"/>
        <item x="86"/>
        <item x="190"/>
        <item x="5"/>
        <item x="77"/>
        <item x="134"/>
        <item x="120"/>
        <item x="164"/>
        <item x="184"/>
        <item x="139"/>
        <item x="73"/>
        <item x="60"/>
        <item x="147"/>
        <item x="152"/>
        <item x="20"/>
        <item x="91"/>
        <item x="153"/>
        <item x="29"/>
        <item x="63"/>
        <item x="167"/>
        <item x="17"/>
        <item x="160"/>
        <item x="59"/>
        <item x="131"/>
        <item x="3"/>
        <item x="97"/>
        <item x="102"/>
        <item x="84"/>
        <item x="33"/>
        <item x="30"/>
        <item x="169"/>
        <item x="129"/>
        <item x="179"/>
        <item x="135"/>
        <item x="187"/>
        <item x="15"/>
        <item x="85"/>
        <item x="27"/>
        <item x="140"/>
        <item x="7"/>
        <item x="155"/>
        <item x="50"/>
        <item x="76"/>
        <item x="154"/>
        <item x="101"/>
        <item x="72"/>
        <item x="88"/>
        <item x="6"/>
        <item x="23"/>
        <item x="42"/>
        <item x="136"/>
        <item x="16"/>
        <item x="146"/>
        <item x="95"/>
        <item x="107"/>
        <item x="156"/>
        <item x="19"/>
        <item x="142"/>
        <item x="149"/>
        <item x="127"/>
        <item x="71"/>
        <item x="100"/>
        <item x="109"/>
        <item x="172"/>
        <item x="137"/>
        <item x="94"/>
        <item x="93"/>
        <item x="124"/>
        <item x="199"/>
        <item x="81"/>
        <item x="14"/>
        <item x="46"/>
        <item x="8"/>
        <item x="64"/>
        <item x="66"/>
        <item x="104"/>
        <item x="83"/>
        <item x="157"/>
        <item x="183"/>
        <item x="98"/>
        <item x="194"/>
        <item x="11"/>
        <item x="44"/>
        <item x="114"/>
        <item x="0"/>
        <item x="198"/>
        <item x="28"/>
        <item x="163"/>
        <item x="191"/>
        <item x="197"/>
        <item x="53"/>
        <item x="37"/>
        <item x="143"/>
        <item x="193"/>
        <item x="62"/>
        <item x="55"/>
        <item x="144"/>
        <item x="111"/>
        <item x="103"/>
        <item x="45"/>
        <item x="189"/>
        <item x="90"/>
        <item x="138"/>
        <item x="22"/>
        <item x="113"/>
        <item x="80"/>
        <item x="182"/>
        <item x="34"/>
        <item x="31"/>
        <item x="35"/>
        <item x="171"/>
        <item x="52"/>
        <item x="68"/>
        <item x="87"/>
        <item x="70"/>
        <item x="195"/>
        <item x="112"/>
        <item x="89"/>
        <item x="123"/>
        <item x="133"/>
        <item x="170"/>
        <item x="79"/>
        <item x="13"/>
        <item x="181"/>
        <item x="4"/>
        <item x="128"/>
        <item x="96"/>
        <item x="158"/>
        <item x="196"/>
        <item x="161"/>
        <item x="186"/>
        <item x="18"/>
        <item x="116"/>
        <item x="40"/>
        <item x="32"/>
        <item x="24"/>
        <item x="159"/>
        <item x="115"/>
        <item x="168"/>
        <item x="119"/>
        <item x="176"/>
        <item x="132"/>
        <item x="121"/>
        <item x="106"/>
        <item x="173"/>
        <item x="82"/>
        <item x="39"/>
        <item x="38"/>
        <item x="26"/>
        <item x="166"/>
        <item x="51"/>
        <item x="10"/>
        <item x="117"/>
        <item x="48"/>
        <item x="99"/>
        <item x="125"/>
        <item x="57"/>
        <item x="118"/>
        <item x="49"/>
        <item x="92"/>
        <item x="41"/>
        <item x="180"/>
        <item x="67"/>
        <item x="36"/>
        <item x="69"/>
        <item x="65"/>
        <item x="105"/>
        <item x="2"/>
        <item x="61"/>
        <item x="47"/>
        <item x="75"/>
        <item x="175"/>
        <item x="185"/>
        <item x="148"/>
        <item x="165"/>
        <item x="177"/>
        <item x="174"/>
        <item x="25"/>
        <item x="21"/>
        <item x="122"/>
        <item x="74"/>
        <item x="145"/>
        <item x="9"/>
        <item x="192"/>
        <item x="1"/>
        <item x="150"/>
        <item x="178"/>
        <item x="162"/>
        <item x="56"/>
        <item x="43"/>
        <item x="54"/>
        <item t="default"/>
      </items>
    </pivotField>
    <pivotField dragToRow="0" dragToCol="0" dragToPage="0" showAll="0" defaultSubtotal="0"/>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Sales  " fld="5" baseField="0" baseItem="0"/>
    <dataField name="Profit  " fld="6" baseField="0" baseItem="0"/>
  </dataFields>
  <formats count="2">
    <format dxfId="21">
      <pivotArea dataOnly="0" outline="0" fieldPosition="0">
        <references count="1">
          <reference field="4294967294" count="1">
            <x v="0"/>
          </reference>
        </references>
      </pivotArea>
    </format>
    <format dxfId="20">
      <pivotArea dataOnly="0" outline="0" fieldPosition="0">
        <references count="1">
          <reference field="4294967294" count="1">
            <x v="1"/>
          </reference>
        </references>
      </pivotArea>
    </format>
  </formats>
  <chartFormats count="17">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7" format="2">
      <pivotArea type="data" outline="0" fieldPosition="0">
        <references count="2">
          <reference field="4294967294" count="1" selected="0">
            <x v="0"/>
          </reference>
          <reference field="0" count="1" selected="0">
            <x v="0"/>
          </reference>
        </references>
      </pivotArea>
    </chartFormat>
    <chartFormat chart="7" format="3">
      <pivotArea type="data" outline="0" fieldPosition="0">
        <references count="2">
          <reference field="4294967294" count="1" selected="0">
            <x v="0"/>
          </reference>
          <reference field="0" count="1" selected="0">
            <x v="1"/>
          </reference>
        </references>
      </pivotArea>
    </chartFormat>
    <chartFormat chart="7" format="4">
      <pivotArea type="data" outline="0" fieldPosition="0">
        <references count="2">
          <reference field="4294967294" count="1" selected="0">
            <x v="0"/>
          </reference>
          <reference field="0" count="1" selected="0">
            <x v="2"/>
          </reference>
        </references>
      </pivotArea>
    </chartFormat>
    <chartFormat chart="7" format="5">
      <pivotArea type="data" outline="0" fieldPosition="0">
        <references count="2">
          <reference field="4294967294" count="1" selected="0">
            <x v="0"/>
          </reference>
          <reference field="0" count="1" selected="0">
            <x v="3"/>
          </reference>
        </references>
      </pivotArea>
    </chartFormat>
    <chartFormat chart="7" format="6">
      <pivotArea type="data" outline="0" fieldPosition="0">
        <references count="2">
          <reference field="4294967294" count="1" selected="0">
            <x v="0"/>
          </reference>
          <reference field="0" count="1" selected="0">
            <x v="4"/>
          </reference>
        </references>
      </pivotArea>
    </chartFormat>
    <chartFormat chart="7" format="7">
      <pivotArea type="data" outline="0" fieldPosition="0">
        <references count="2">
          <reference field="4294967294" count="1" selected="0">
            <x v="0"/>
          </reference>
          <reference field="0" count="1" selected="0">
            <x v="5"/>
          </reference>
        </references>
      </pivotArea>
    </chartFormat>
    <chartFormat chart="7" format="8">
      <pivotArea type="data" outline="0" fieldPosition="0">
        <references count="2">
          <reference field="4294967294" count="1" selected="0">
            <x v="0"/>
          </reference>
          <reference field="0" count="1" selected="0">
            <x v="6"/>
          </reference>
        </references>
      </pivotArea>
    </chartFormat>
    <chartFormat chart="7" format="9">
      <pivotArea type="data" outline="0" fieldPosition="0">
        <references count="2">
          <reference field="4294967294" count="1" selected="0">
            <x v="0"/>
          </reference>
          <reference field="0" count="1" selected="0">
            <x v="7"/>
          </reference>
        </references>
      </pivotArea>
    </chartFormat>
    <chartFormat chart="7" format="10">
      <pivotArea type="data" outline="0" fieldPosition="0">
        <references count="2">
          <reference field="4294967294" count="1" selected="0">
            <x v="0"/>
          </reference>
          <reference field="0" count="1" selected="0">
            <x v="8"/>
          </reference>
        </references>
      </pivotArea>
    </chartFormat>
    <chartFormat chart="7" format="11">
      <pivotArea type="data" outline="0" fieldPosition="0">
        <references count="2">
          <reference field="4294967294" count="1" selected="0">
            <x v="0"/>
          </reference>
          <reference field="0" count="1" selected="0">
            <x v="9"/>
          </reference>
        </references>
      </pivotArea>
    </chartFormat>
    <chartFormat chart="7" format="12">
      <pivotArea type="data" outline="0" fieldPosition="0">
        <references count="2">
          <reference field="4294967294" count="1" selected="0">
            <x v="0"/>
          </reference>
          <reference field="0" count="1" selected="0">
            <x v="10"/>
          </reference>
        </references>
      </pivotArea>
    </chartFormat>
    <chartFormat chart="19" format="15" series="1">
      <pivotArea type="data" outline="0" fieldPosition="0">
        <references count="1">
          <reference field="4294967294" count="1" selected="0">
            <x v="0"/>
          </reference>
        </references>
      </pivotArea>
    </chartFormat>
    <chartFormat chart="19" format="1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C35A90B-354F-4EB1-9EE4-A8A417724875}"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8">
    <pivotField showAll="0"/>
    <pivotField showAll="0"/>
    <pivotField showAll="0"/>
    <pivotField showAll="0"/>
    <pivotField showAll="0"/>
    <pivotField dataField="1" showAll="0">
      <items count="201">
        <item x="151"/>
        <item x="141"/>
        <item x="108"/>
        <item x="17"/>
        <item x="86"/>
        <item x="77"/>
        <item x="184"/>
        <item x="58"/>
        <item x="164"/>
        <item x="102"/>
        <item x="160"/>
        <item x="91"/>
        <item x="153"/>
        <item x="129"/>
        <item x="85"/>
        <item x="126"/>
        <item x="97"/>
        <item x="188"/>
        <item x="12"/>
        <item x="19"/>
        <item x="14"/>
        <item x="30"/>
        <item x="59"/>
        <item x="66"/>
        <item x="81"/>
        <item x="23"/>
        <item x="154"/>
        <item x="137"/>
        <item x="155"/>
        <item x="11"/>
        <item x="120"/>
        <item x="93"/>
        <item x="169"/>
        <item x="28"/>
        <item x="146"/>
        <item x="197"/>
        <item x="190"/>
        <item x="76"/>
        <item x="157"/>
        <item x="0"/>
        <item x="78"/>
        <item x="189"/>
        <item x="187"/>
        <item x="124"/>
        <item x="90"/>
        <item x="45"/>
        <item x="63"/>
        <item x="147"/>
        <item x="5"/>
        <item x="20"/>
        <item x="62"/>
        <item x="114"/>
        <item x="104"/>
        <item x="46"/>
        <item x="53"/>
        <item x="7"/>
        <item x="33"/>
        <item x="70"/>
        <item x="80"/>
        <item x="68"/>
        <item x="130"/>
        <item x="50"/>
        <item x="194"/>
        <item x="8"/>
        <item x="144"/>
        <item x="3"/>
        <item x="37"/>
        <item x="112"/>
        <item x="15"/>
        <item x="149"/>
        <item x="22"/>
        <item x="98"/>
        <item x="172"/>
        <item x="134"/>
        <item x="94"/>
        <item x="52"/>
        <item x="18"/>
        <item x="101"/>
        <item x="171"/>
        <item x="139"/>
        <item x="71"/>
        <item x="40"/>
        <item x="31"/>
        <item x="152"/>
        <item x="79"/>
        <item x="34"/>
        <item x="142"/>
        <item x="143"/>
        <item x="128"/>
        <item x="138"/>
        <item x="176"/>
        <item x="170"/>
        <item x="87"/>
        <item x="161"/>
        <item x="163"/>
        <item x="168"/>
        <item x="123"/>
        <item x="198"/>
        <item x="179"/>
        <item x="89"/>
        <item x="95"/>
        <item x="158"/>
        <item x="82"/>
        <item x="103"/>
        <item x="109"/>
        <item x="121"/>
        <item x="173"/>
        <item x="196"/>
        <item x="24"/>
        <item x="88"/>
        <item x="48"/>
        <item x="55"/>
        <item x="135"/>
        <item x="83"/>
        <item x="44"/>
        <item x="136"/>
        <item x="166"/>
        <item x="35"/>
        <item x="72"/>
        <item x="140"/>
        <item x="29"/>
        <item x="73"/>
        <item x="156"/>
        <item x="99"/>
        <item x="131"/>
        <item x="84"/>
        <item x="6"/>
        <item x="26"/>
        <item x="105"/>
        <item x="67"/>
        <item x="13"/>
        <item x="27"/>
        <item x="42"/>
        <item x="38"/>
        <item x="118"/>
        <item x="132"/>
        <item x="111"/>
        <item x="69"/>
        <item x="75"/>
        <item x="10"/>
        <item x="185"/>
        <item x="186"/>
        <item x="113"/>
        <item x="41"/>
        <item x="177"/>
        <item x="180"/>
        <item x="195"/>
        <item x="47"/>
        <item x="165"/>
        <item x="181"/>
        <item x="145"/>
        <item x="60"/>
        <item x="110"/>
        <item x="115"/>
        <item x="182"/>
        <item x="106"/>
        <item x="116"/>
        <item x="61"/>
        <item x="36"/>
        <item x="191"/>
        <item x="127"/>
        <item x="65"/>
        <item x="122"/>
        <item x="183"/>
        <item x="96"/>
        <item x="21"/>
        <item x="25"/>
        <item x="133"/>
        <item x="74"/>
        <item x="1"/>
        <item x="16"/>
        <item x="175"/>
        <item x="92"/>
        <item x="125"/>
        <item x="199"/>
        <item x="49"/>
        <item x="148"/>
        <item x="192"/>
        <item x="4"/>
        <item x="117"/>
        <item x="162"/>
        <item x="51"/>
        <item x="64"/>
        <item x="167"/>
        <item x="2"/>
        <item x="57"/>
        <item x="159"/>
        <item x="100"/>
        <item x="178"/>
        <item x="119"/>
        <item x="32"/>
        <item x="174"/>
        <item x="107"/>
        <item x="56"/>
        <item x="39"/>
        <item x="193"/>
        <item x="54"/>
        <item x="150"/>
        <item x="43"/>
        <item x="9"/>
        <item t="default"/>
      </items>
    </pivotField>
    <pivotField dataField="1" showAll="0"/>
    <pivotField dragToRow="0" dragToCol="0" dragToPage="0" showAll="0" defaultSubtotal="0"/>
  </pivotFields>
  <rowItems count="1">
    <i/>
  </rowItems>
  <colFields count="1">
    <field x="-2"/>
  </colFields>
  <colItems count="2">
    <i>
      <x/>
    </i>
    <i i="1">
      <x v="1"/>
    </i>
  </colItems>
  <dataFields count="2">
    <dataField name="Sum of Sales" fld="5" baseField="0" baseItem="0" numFmtId="164"/>
    <dataField name="Sum of Profit" fld="6" baseField="0" baseItem="0" numFmtId="164"/>
  </dataFields>
  <formats count="2">
    <format dxfId="23">
      <pivotArea outline="0" collapsedLevelsAreSubtotals="1" fieldPosition="0">
        <references count="1">
          <reference field="4294967294" count="1" selected="0">
            <x v="0"/>
          </reference>
        </references>
      </pivotArea>
    </format>
    <format dxfId="22">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ler" xr10:uid="{DCD2EC72-1ADA-42B3-A25B-2020A46792BB}" sourceName="Seller">
  <pivotTables>
    <pivotTable tabId="4" name="PivotTable5"/>
  </pivotTables>
  <data>
    <tabular pivotCacheId="1661920116">
      <items count="7">
        <i x="5" s="1"/>
        <i x="3" s="1"/>
        <i x="4" s="1"/>
        <i x="0" s="1"/>
        <i x="2" s="1"/>
        <i x="1"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CCD13539-B2C9-4910-89CE-1D73CB268116}" sourceName="State">
  <pivotTables>
    <pivotTable tabId="4" name="PivotTable4"/>
    <pivotTable tabId="4" name="PivotTable5"/>
  </pivotTables>
  <data>
    <tabular pivotCacheId="1661920116">
      <items count="6">
        <i x="0" s="1"/>
        <i x="3" s="1"/>
        <i x="4" s="1"/>
        <i x="2" s="1"/>
        <i x="5"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E8ABF3E-6114-4D25-A62A-B06BA90BB4E7}" sourceName="Category">
  <pivotTables>
    <pivotTable tabId="4" name="PivotTable4"/>
    <pivotTable tabId="4" name="PivotTable5"/>
  </pivotTables>
  <data>
    <tabular pivotCacheId="1661920116">
      <items count="5">
        <i x="1" s="1"/>
        <i x="0" s="1"/>
        <i x="3"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ller" xr10:uid="{A7DAB1B4-139C-4FCA-967B-6AC2E4486DCC}" cache="Slicer_Seller" caption="Seller" style="Slicer Style 3" rowHeight="241300"/>
  <slicer name="State" xr10:uid="{8C34348B-8BB1-4818-AA4A-A903A896FB70}" cache="Slicer_State" caption="State" style="Slicer Style 3" rowHeight="241300"/>
  <slicer name="Category" xr10:uid="{12E0CC92-B217-4855-A662-41F1A7C95A8A}" cache="Slicer_Category" caption="Category" style="Slicer Style 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1D39F7-1D43-4360-B8E8-0543ADA532D4}" name="Table1" displayName="Table1" ref="A1:G201" totalsRowShown="0" headerRowDxfId="13" headerRowBorderDxfId="12" tableBorderDxfId="11">
  <autoFilter ref="A1:G201" xr:uid="{2E1D39F7-1D43-4360-B8E8-0543ADA532D4}"/>
  <tableColumns count="7">
    <tableColumn id="1" xr3:uid="{CCE79373-CCC5-443E-957D-3B2BCA6C327F}" name="Month"/>
    <tableColumn id="2" xr3:uid="{9142E8D5-AC65-486C-9670-6C78064A528A}" name="Seller"/>
    <tableColumn id="3" xr3:uid="{5180F9EF-7EE9-4284-8CB7-A36A7D70AE9D}" name="Category"/>
    <tableColumn id="4" xr3:uid="{16917C1C-3C06-4970-BB95-F2D2C23CB76F}" name="Product"/>
    <tableColumn id="5" xr3:uid="{C2236A29-DC04-492B-B866-5D65B3BD7395}" name="State"/>
    <tableColumn id="6" xr3:uid="{EACB444C-90E1-4F3D-9EF7-F0E1701C85E2}" name="Sales"/>
    <tableColumn id="7" xr3:uid="{B6870DC3-778D-44A8-B4E5-F860DC576551}" name="Profit"/>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B1862-9F34-40DA-9CD9-BC12C015EFE5}">
  <dimension ref="A2:R3"/>
  <sheetViews>
    <sheetView tabSelected="1" topLeftCell="A4" zoomScale="89" zoomScaleNormal="89" workbookViewId="0">
      <selection activeCell="H3" sqref="H3"/>
    </sheetView>
  </sheetViews>
  <sheetFormatPr defaultRowHeight="15" x14ac:dyDescent="0.25"/>
  <cols>
    <col min="1" max="16" width="9.140625" style="8"/>
    <col min="17" max="17" width="10.5703125" style="8" bestFit="1" customWidth="1"/>
    <col min="18" max="16384" width="9.140625" style="8"/>
  </cols>
  <sheetData>
    <row r="2" spans="1:18" ht="30" customHeight="1" x14ac:dyDescent="0.45">
      <c r="A2" s="6" t="s">
        <v>57</v>
      </c>
      <c r="B2" s="6"/>
      <c r="C2" s="6"/>
      <c r="D2" s="6"/>
      <c r="E2" s="7"/>
      <c r="F2" s="7"/>
      <c r="G2" s="7"/>
      <c r="R2" s="13">
        <f>Analysis!F3</f>
        <v>0.45663263561484241</v>
      </c>
    </row>
    <row r="3" spans="1:18" ht="18.75" x14ac:dyDescent="0.3">
      <c r="A3" s="9" t="s">
        <v>58</v>
      </c>
      <c r="B3" s="10"/>
      <c r="C3" s="10"/>
      <c r="D3" s="11"/>
      <c r="R3" s="14" t="s">
        <v>67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124AB-1854-427B-AC60-A89ECECE42C8}">
  <dimension ref="A3:F50"/>
  <sheetViews>
    <sheetView topLeftCell="A13" workbookViewId="0">
      <selection activeCell="C7" sqref="C7"/>
    </sheetView>
  </sheetViews>
  <sheetFormatPr defaultRowHeight="15" x14ac:dyDescent="0.25"/>
  <cols>
    <col min="1" max="2" width="13.140625" bestFit="1" customWidth="1"/>
    <col min="3" max="3" width="9" bestFit="1" customWidth="1"/>
    <col min="4" max="4" width="13.140625" bestFit="1" customWidth="1"/>
    <col min="5" max="7" width="17.42578125" bestFit="1" customWidth="1"/>
    <col min="8" max="8" width="5" bestFit="1" customWidth="1"/>
    <col min="9" max="9" width="6" bestFit="1" customWidth="1"/>
    <col min="10" max="13" width="7" bestFit="1" customWidth="1"/>
    <col min="14" max="14" width="6" bestFit="1" customWidth="1"/>
    <col min="15" max="15" width="7" bestFit="1" customWidth="1"/>
    <col min="16" max="16" width="6" bestFit="1" customWidth="1"/>
    <col min="17" max="30" width="7" bestFit="1" customWidth="1"/>
    <col min="31" max="31" width="6" bestFit="1" customWidth="1"/>
    <col min="32" max="37" width="7" bestFit="1" customWidth="1"/>
    <col min="38" max="39" width="6" bestFit="1" customWidth="1"/>
    <col min="40" max="51" width="7" bestFit="1" customWidth="1"/>
    <col min="52" max="52" width="6" bestFit="1" customWidth="1"/>
    <col min="53" max="53" width="7" bestFit="1" customWidth="1"/>
    <col min="54" max="55" width="6" bestFit="1" customWidth="1"/>
    <col min="56" max="57" width="7" bestFit="1" customWidth="1"/>
    <col min="58" max="59" width="6" bestFit="1" customWidth="1"/>
    <col min="60" max="80" width="7" bestFit="1" customWidth="1"/>
    <col min="81" max="86" width="8" bestFit="1" customWidth="1"/>
    <col min="87" max="87" width="7" bestFit="1" customWidth="1"/>
    <col min="88" max="111" width="8" bestFit="1" customWidth="1"/>
    <col min="112" max="112" width="7" bestFit="1" customWidth="1"/>
    <col min="113" max="116" width="8" bestFit="1" customWidth="1"/>
    <col min="117" max="117" width="7" bestFit="1" customWidth="1"/>
    <col min="118" max="141" width="8" bestFit="1" customWidth="1"/>
    <col min="142" max="142" width="7" bestFit="1" customWidth="1"/>
    <col min="143" max="154" width="8" bestFit="1" customWidth="1"/>
    <col min="155" max="155" width="7" bestFit="1" customWidth="1"/>
    <col min="156" max="156" width="8" bestFit="1" customWidth="1"/>
    <col min="157" max="157" width="7" bestFit="1" customWidth="1"/>
    <col min="158" max="169" width="8" bestFit="1" customWidth="1"/>
    <col min="170" max="170" width="7" bestFit="1" customWidth="1"/>
    <col min="171" max="177" width="8" bestFit="1" customWidth="1"/>
    <col min="178" max="178" width="7" bestFit="1" customWidth="1"/>
    <col min="179" max="196" width="8" bestFit="1" customWidth="1"/>
    <col min="197" max="197" width="7" bestFit="1" customWidth="1"/>
    <col min="198" max="201" width="8" bestFit="1" customWidth="1"/>
    <col min="202" max="202" width="11.28515625" bestFit="1" customWidth="1"/>
  </cols>
  <sheetData>
    <row r="3" spans="1:6" x14ac:dyDescent="0.25">
      <c r="A3" t="s">
        <v>61</v>
      </c>
      <c r="B3" t="s">
        <v>62</v>
      </c>
      <c r="E3" t="s">
        <v>65</v>
      </c>
      <c r="F3" s="12">
        <f>E4</f>
        <v>0.45663263561484241</v>
      </c>
    </row>
    <row r="4" spans="1:6" x14ac:dyDescent="0.25">
      <c r="A4" s="4">
        <v>981140.21</v>
      </c>
      <c r="B4" s="4">
        <v>448020.63999999996</v>
      </c>
      <c r="E4" s="12">
        <v>0.45663263561484241</v>
      </c>
      <c r="F4" s="12">
        <f>1-E4</f>
        <v>0.54336736438515754</v>
      </c>
    </row>
    <row r="7" spans="1:6" x14ac:dyDescent="0.25">
      <c r="A7" s="2" t="s">
        <v>59</v>
      </c>
      <c r="B7" s="5" t="s">
        <v>63</v>
      </c>
      <c r="C7" s="5" t="s">
        <v>66</v>
      </c>
    </row>
    <row r="8" spans="1:6" x14ac:dyDescent="0.25">
      <c r="A8" s="3" t="s">
        <v>36</v>
      </c>
      <c r="B8" s="5">
        <v>113697.64</v>
      </c>
      <c r="C8" s="5">
        <v>46639.99</v>
      </c>
    </row>
    <row r="9" spans="1:6" x14ac:dyDescent="0.25">
      <c r="A9" s="3" t="s">
        <v>25</v>
      </c>
      <c r="B9" s="5">
        <v>97653.540000000023</v>
      </c>
      <c r="C9" s="5">
        <v>40084.160000000003</v>
      </c>
    </row>
    <row r="10" spans="1:6" x14ac:dyDescent="0.25">
      <c r="A10" s="3" t="s">
        <v>28</v>
      </c>
      <c r="B10" s="5">
        <v>69469.650000000009</v>
      </c>
      <c r="C10" s="5">
        <v>28621.84</v>
      </c>
    </row>
    <row r="11" spans="1:6" x14ac:dyDescent="0.25">
      <c r="A11" s="3" t="s">
        <v>39</v>
      </c>
      <c r="B11" s="5">
        <v>117785.47000000002</v>
      </c>
      <c r="C11" s="5">
        <v>57158.5</v>
      </c>
    </row>
    <row r="12" spans="1:6" x14ac:dyDescent="0.25">
      <c r="A12" s="3" t="s">
        <v>7</v>
      </c>
      <c r="B12" s="5">
        <v>51206.009999999995</v>
      </c>
      <c r="C12" s="5">
        <v>24074.780000000002</v>
      </c>
    </row>
    <row r="13" spans="1:6" x14ac:dyDescent="0.25">
      <c r="A13" s="3" t="s">
        <v>17</v>
      </c>
      <c r="B13" s="5">
        <v>111064.25999999998</v>
      </c>
      <c r="C13" s="5">
        <v>44431.750000000007</v>
      </c>
    </row>
    <row r="14" spans="1:6" x14ac:dyDescent="0.25">
      <c r="A14" s="3" t="s">
        <v>37</v>
      </c>
      <c r="B14" s="5">
        <v>94539.450000000012</v>
      </c>
      <c r="C14" s="5">
        <v>45810.009999999995</v>
      </c>
    </row>
    <row r="15" spans="1:6" x14ac:dyDescent="0.25">
      <c r="A15" s="3" t="s">
        <v>40</v>
      </c>
      <c r="B15" s="5">
        <v>62616.81</v>
      </c>
      <c r="C15" s="5">
        <v>33871.340000000004</v>
      </c>
    </row>
    <row r="16" spans="1:6" x14ac:dyDescent="0.25">
      <c r="A16" s="3" t="s">
        <v>54</v>
      </c>
      <c r="B16" s="5">
        <v>65562.06</v>
      </c>
      <c r="C16" s="5">
        <v>32213.510000000006</v>
      </c>
    </row>
    <row r="17" spans="1:3" x14ac:dyDescent="0.25">
      <c r="A17" s="3" t="s">
        <v>51</v>
      </c>
      <c r="B17" s="5">
        <v>87670.030000000013</v>
      </c>
      <c r="C17" s="5">
        <v>38316.69</v>
      </c>
    </row>
    <row r="18" spans="1:3" x14ac:dyDescent="0.25">
      <c r="A18" s="3" t="s">
        <v>12</v>
      </c>
      <c r="B18" s="5">
        <v>63912.19</v>
      </c>
      <c r="C18" s="5">
        <v>35866.939999999995</v>
      </c>
    </row>
    <row r="19" spans="1:3" x14ac:dyDescent="0.25">
      <c r="A19" s="3" t="s">
        <v>22</v>
      </c>
      <c r="B19" s="5">
        <v>45963.1</v>
      </c>
      <c r="C19" s="5">
        <v>20931.129999999997</v>
      </c>
    </row>
    <row r="20" spans="1:3" x14ac:dyDescent="0.25">
      <c r="A20" s="3" t="s">
        <v>60</v>
      </c>
      <c r="B20" s="5">
        <v>981140.21000000008</v>
      </c>
      <c r="C20" s="5">
        <v>448020.64</v>
      </c>
    </row>
    <row r="22" spans="1:3" x14ac:dyDescent="0.25">
      <c r="A22" s="2" t="s">
        <v>59</v>
      </c>
      <c r="B22" s="5" t="s">
        <v>63</v>
      </c>
      <c r="C22" s="5" t="s">
        <v>64</v>
      </c>
    </row>
    <row r="23" spans="1:3" x14ac:dyDescent="0.25">
      <c r="A23" s="3" t="s">
        <v>14</v>
      </c>
      <c r="B23" s="5">
        <v>188231.41</v>
      </c>
      <c r="C23" s="5">
        <v>89527.419999999984</v>
      </c>
    </row>
    <row r="24" spans="1:3" x14ac:dyDescent="0.25">
      <c r="A24" s="3" t="s">
        <v>9</v>
      </c>
      <c r="B24" s="5">
        <v>195290.74999999994</v>
      </c>
      <c r="C24" s="5">
        <v>86543.48</v>
      </c>
    </row>
    <row r="25" spans="1:3" x14ac:dyDescent="0.25">
      <c r="A25" s="3" t="s">
        <v>23</v>
      </c>
      <c r="B25" s="5">
        <v>170206.58</v>
      </c>
      <c r="C25" s="5">
        <v>72951</v>
      </c>
    </row>
    <row r="26" spans="1:3" x14ac:dyDescent="0.25">
      <c r="A26" s="3" t="s">
        <v>34</v>
      </c>
      <c r="B26" s="5">
        <v>189973.73999999993</v>
      </c>
      <c r="C26" s="5">
        <v>92190.099999999977</v>
      </c>
    </row>
    <row r="27" spans="1:3" x14ac:dyDescent="0.25">
      <c r="A27" s="3" t="s">
        <v>19</v>
      </c>
      <c r="B27" s="5">
        <v>237437.73000000004</v>
      </c>
      <c r="C27" s="5">
        <v>106808.64000000001</v>
      </c>
    </row>
    <row r="28" spans="1:3" x14ac:dyDescent="0.25">
      <c r="A28" s="3" t="s">
        <v>60</v>
      </c>
      <c r="B28" s="5">
        <v>981140.20999999973</v>
      </c>
      <c r="C28" s="5">
        <v>448020.63999999996</v>
      </c>
    </row>
    <row r="31" spans="1:3" x14ac:dyDescent="0.25">
      <c r="A31" s="2" t="s">
        <v>59</v>
      </c>
      <c r="B31" s="5" t="s">
        <v>63</v>
      </c>
      <c r="C31" s="5" t="s">
        <v>64</v>
      </c>
    </row>
    <row r="32" spans="1:3" x14ac:dyDescent="0.25">
      <c r="A32" s="3" t="s">
        <v>29</v>
      </c>
      <c r="B32" s="5">
        <v>170973.17999999996</v>
      </c>
      <c r="C32" s="5">
        <v>67730.430000000008</v>
      </c>
    </row>
    <row r="33" spans="1:4" x14ac:dyDescent="0.25">
      <c r="A33" s="3" t="s">
        <v>31</v>
      </c>
      <c r="B33" s="5">
        <v>146463.47000000003</v>
      </c>
      <c r="C33" s="5">
        <v>75659.25</v>
      </c>
    </row>
    <row r="34" spans="1:4" x14ac:dyDescent="0.25">
      <c r="A34" s="3" t="s">
        <v>8</v>
      </c>
      <c r="B34" s="5">
        <v>146424.48000000001</v>
      </c>
      <c r="C34" s="5">
        <v>51504.74</v>
      </c>
    </row>
    <row r="35" spans="1:4" x14ac:dyDescent="0.25">
      <c r="A35" s="3" t="s">
        <v>18</v>
      </c>
      <c r="B35" s="5">
        <v>123672.96000000001</v>
      </c>
      <c r="C35" s="5">
        <v>54599.55</v>
      </c>
    </row>
    <row r="36" spans="1:4" x14ac:dyDescent="0.25">
      <c r="A36" s="3" t="s">
        <v>13</v>
      </c>
      <c r="B36" s="5">
        <v>106484.04000000002</v>
      </c>
      <c r="C36" s="5">
        <v>51216.37999999999</v>
      </c>
    </row>
    <row r="37" spans="1:4" x14ac:dyDescent="0.25">
      <c r="A37" s="3" t="s">
        <v>48</v>
      </c>
      <c r="B37" s="5">
        <v>138482.86000000002</v>
      </c>
      <c r="C37" s="5">
        <v>78333.899999999994</v>
      </c>
    </row>
    <row r="38" spans="1:4" x14ac:dyDescent="0.25">
      <c r="A38" s="3" t="s">
        <v>60</v>
      </c>
      <c r="B38" s="5">
        <v>832500.99</v>
      </c>
      <c r="C38" s="5">
        <v>379044.25</v>
      </c>
    </row>
    <row r="43" spans="1:4" x14ac:dyDescent="0.25">
      <c r="A43" s="2" t="s">
        <v>59</v>
      </c>
      <c r="B43" s="5" t="s">
        <v>61</v>
      </c>
      <c r="C43" t="s">
        <v>59</v>
      </c>
      <c r="D43" s="5" t="s">
        <v>61</v>
      </c>
    </row>
    <row r="44" spans="1:4" x14ac:dyDescent="0.25">
      <c r="A44" s="3" t="s">
        <v>11</v>
      </c>
      <c r="B44" s="5">
        <v>302292.71000000002</v>
      </c>
      <c r="C44" t="s">
        <v>11</v>
      </c>
      <c r="D44">
        <f>VLOOKUP(C44,$A$44:$B$49,2,FALSE)</f>
        <v>302292.71000000002</v>
      </c>
    </row>
    <row r="45" spans="1:4" x14ac:dyDescent="0.25">
      <c r="A45" s="3" t="s">
        <v>27</v>
      </c>
      <c r="B45" s="5">
        <v>124960.35</v>
      </c>
      <c r="C45" t="s">
        <v>27</v>
      </c>
      <c r="D45">
        <f t="shared" ref="D45:D49" si="0">VLOOKUP(C45,$A$44:$B$49,2,FALSE)</f>
        <v>124960.35</v>
      </c>
    </row>
    <row r="46" spans="1:4" x14ac:dyDescent="0.25">
      <c r="A46" s="3" t="s">
        <v>33</v>
      </c>
      <c r="B46" s="5">
        <v>123245.15000000001</v>
      </c>
      <c r="C46" t="s">
        <v>33</v>
      </c>
      <c r="D46">
        <f t="shared" si="0"/>
        <v>123245.15000000001</v>
      </c>
    </row>
    <row r="47" spans="1:4" x14ac:dyDescent="0.25">
      <c r="A47" s="3" t="s">
        <v>21</v>
      </c>
      <c r="B47" s="5">
        <v>172765.65000000002</v>
      </c>
      <c r="C47" t="s">
        <v>21</v>
      </c>
      <c r="D47">
        <f t="shared" si="0"/>
        <v>172765.65000000002</v>
      </c>
    </row>
    <row r="48" spans="1:4" x14ac:dyDescent="0.25">
      <c r="A48" s="3" t="s">
        <v>47</v>
      </c>
      <c r="B48" s="5">
        <v>129640.7</v>
      </c>
      <c r="C48" t="s">
        <v>47</v>
      </c>
      <c r="D48">
        <f t="shared" si="0"/>
        <v>129640.7</v>
      </c>
    </row>
    <row r="49" spans="1:4" x14ac:dyDescent="0.25">
      <c r="A49" s="3" t="s">
        <v>16</v>
      </c>
      <c r="B49" s="5">
        <v>128235.65</v>
      </c>
      <c r="C49" t="s">
        <v>16</v>
      </c>
      <c r="D49">
        <f t="shared" si="0"/>
        <v>128235.65</v>
      </c>
    </row>
    <row r="50" spans="1:4" x14ac:dyDescent="0.25">
      <c r="A50" s="3" t="s">
        <v>60</v>
      </c>
      <c r="B50" s="5">
        <v>981140.21000000008</v>
      </c>
      <c r="C50" t="s">
        <v>60</v>
      </c>
      <c r="D50">
        <f t="shared" ref="D50" si="1">B50</f>
        <v>981140.21000000008</v>
      </c>
    </row>
  </sheetData>
  <pageMargins left="0.7" right="0.7" top="0.75" bottom="0.75" header="0.3" footer="0.3"/>
  <pageSetup paperSize="9" orientation="portrait"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1"/>
  <sheetViews>
    <sheetView workbookViewId="0">
      <selection activeCell="M13" sqref="M13"/>
    </sheetView>
  </sheetViews>
  <sheetFormatPr defaultRowHeight="15" x14ac:dyDescent="0.25"/>
  <cols>
    <col min="1" max="1" width="9.28515625" bestFit="1" customWidth="1"/>
    <col min="2" max="2" width="8.42578125" bestFit="1" customWidth="1"/>
    <col min="3" max="3" width="17" bestFit="1" customWidth="1"/>
    <col min="4" max="4" width="12.140625" bestFit="1" customWidth="1"/>
    <col min="5" max="5" width="12.7109375" bestFit="1" customWidth="1"/>
    <col min="6" max="6" width="8" bestFit="1" customWidth="1"/>
    <col min="7" max="7" width="8.28515625" bestFit="1" customWidth="1"/>
  </cols>
  <sheetData>
    <row r="1" spans="1:7" x14ac:dyDescent="0.25">
      <c r="A1" s="1" t="s">
        <v>0</v>
      </c>
      <c r="B1" s="1" t="s">
        <v>1</v>
      </c>
      <c r="C1" s="1" t="s">
        <v>2</v>
      </c>
      <c r="D1" s="1" t="s">
        <v>3</v>
      </c>
      <c r="E1" s="1" t="s">
        <v>4</v>
      </c>
      <c r="F1" s="1" t="s">
        <v>5</v>
      </c>
      <c r="G1" s="1" t="s">
        <v>6</v>
      </c>
    </row>
    <row r="2" spans="1:7" x14ac:dyDescent="0.25">
      <c r="A2" t="s">
        <v>7</v>
      </c>
      <c r="B2" t="s">
        <v>8</v>
      </c>
      <c r="C2" t="s">
        <v>9</v>
      </c>
      <c r="D2" t="s">
        <v>10</v>
      </c>
      <c r="E2" t="s">
        <v>11</v>
      </c>
      <c r="F2">
        <v>2122.15</v>
      </c>
      <c r="G2">
        <v>1384.86</v>
      </c>
    </row>
    <row r="3" spans="1:7" x14ac:dyDescent="0.25">
      <c r="A3" t="s">
        <v>12</v>
      </c>
      <c r="B3" t="s">
        <v>13</v>
      </c>
      <c r="C3" t="s">
        <v>14</v>
      </c>
      <c r="D3" t="s">
        <v>15</v>
      </c>
      <c r="E3" t="s">
        <v>16</v>
      </c>
      <c r="F3">
        <v>8413.3700000000008</v>
      </c>
      <c r="G3">
        <v>6642.86</v>
      </c>
    </row>
    <row r="4" spans="1:7" x14ac:dyDescent="0.25">
      <c r="A4" t="s">
        <v>17</v>
      </c>
      <c r="B4" t="s">
        <v>18</v>
      </c>
      <c r="C4" t="s">
        <v>19</v>
      </c>
      <c r="D4" t="s">
        <v>20</v>
      </c>
      <c r="E4" t="s">
        <v>21</v>
      </c>
      <c r="F4">
        <v>9088.41</v>
      </c>
      <c r="G4">
        <v>4855.3</v>
      </c>
    </row>
    <row r="5" spans="1:7" x14ac:dyDescent="0.25">
      <c r="A5" t="s">
        <v>22</v>
      </c>
      <c r="B5" t="s">
        <v>8</v>
      </c>
      <c r="C5" t="s">
        <v>23</v>
      </c>
      <c r="D5" t="s">
        <v>24</v>
      </c>
      <c r="E5" t="s">
        <v>16</v>
      </c>
      <c r="F5">
        <v>3250.66</v>
      </c>
      <c r="G5">
        <v>395.36</v>
      </c>
    </row>
    <row r="6" spans="1:7" x14ac:dyDescent="0.25">
      <c r="A6" t="s">
        <v>25</v>
      </c>
      <c r="B6" t="s">
        <v>8</v>
      </c>
      <c r="C6" t="s">
        <v>14</v>
      </c>
      <c r="D6" t="s">
        <v>26</v>
      </c>
      <c r="E6" t="s">
        <v>27</v>
      </c>
      <c r="F6">
        <v>8721.92</v>
      </c>
      <c r="G6">
        <v>2873.34</v>
      </c>
    </row>
    <row r="7" spans="1:7" x14ac:dyDescent="0.25">
      <c r="A7" t="s">
        <v>28</v>
      </c>
      <c r="B7" t="s">
        <v>29</v>
      </c>
      <c r="C7" t="s">
        <v>23</v>
      </c>
      <c r="D7" t="s">
        <v>30</v>
      </c>
      <c r="E7" t="s">
        <v>11</v>
      </c>
      <c r="F7">
        <v>2361.0700000000002</v>
      </c>
      <c r="G7">
        <v>126.6</v>
      </c>
    </row>
    <row r="8" spans="1:7" x14ac:dyDescent="0.25">
      <c r="A8" t="s">
        <v>25</v>
      </c>
      <c r="B8" t="s">
        <v>31</v>
      </c>
      <c r="C8" t="s">
        <v>19</v>
      </c>
      <c r="D8" t="s">
        <v>32</v>
      </c>
      <c r="E8" t="s">
        <v>33</v>
      </c>
      <c r="F8">
        <v>6033.49</v>
      </c>
      <c r="G8">
        <v>713.3</v>
      </c>
    </row>
    <row r="9" spans="1:7" x14ac:dyDescent="0.25">
      <c r="A9" t="s">
        <v>12</v>
      </c>
      <c r="B9" t="s">
        <v>8</v>
      </c>
      <c r="C9" t="s">
        <v>34</v>
      </c>
      <c r="D9" t="s">
        <v>35</v>
      </c>
      <c r="E9" t="s">
        <v>16</v>
      </c>
      <c r="F9">
        <v>2770.26</v>
      </c>
      <c r="G9">
        <v>633.86</v>
      </c>
    </row>
    <row r="10" spans="1:7" x14ac:dyDescent="0.25">
      <c r="A10" t="s">
        <v>36</v>
      </c>
      <c r="B10" t="s">
        <v>8</v>
      </c>
      <c r="C10" t="s">
        <v>9</v>
      </c>
      <c r="D10" t="s">
        <v>10</v>
      </c>
      <c r="E10" t="s">
        <v>27</v>
      </c>
      <c r="F10">
        <v>3101.1</v>
      </c>
      <c r="G10">
        <v>1063.08</v>
      </c>
    </row>
    <row r="11" spans="1:7" x14ac:dyDescent="0.25">
      <c r="A11" t="s">
        <v>37</v>
      </c>
      <c r="B11" t="s">
        <v>38</v>
      </c>
      <c r="C11" t="s">
        <v>19</v>
      </c>
      <c r="D11" t="s">
        <v>32</v>
      </c>
      <c r="E11" t="s">
        <v>11</v>
      </c>
      <c r="F11">
        <v>9995.59</v>
      </c>
      <c r="G11">
        <v>6411.72</v>
      </c>
    </row>
    <row r="12" spans="1:7" x14ac:dyDescent="0.25">
      <c r="A12" t="s">
        <v>39</v>
      </c>
      <c r="B12" t="s">
        <v>13</v>
      </c>
      <c r="C12" t="s">
        <v>34</v>
      </c>
      <c r="D12" t="s">
        <v>35</v>
      </c>
      <c r="E12" t="s">
        <v>11</v>
      </c>
      <c r="F12">
        <v>6751.92</v>
      </c>
      <c r="G12">
        <v>4074.55</v>
      </c>
    </row>
    <row r="13" spans="1:7" x14ac:dyDescent="0.25">
      <c r="A13" t="s">
        <v>40</v>
      </c>
      <c r="B13" t="s">
        <v>29</v>
      </c>
      <c r="C13" t="s">
        <v>19</v>
      </c>
      <c r="D13" t="s">
        <v>41</v>
      </c>
      <c r="E13" t="s">
        <v>21</v>
      </c>
      <c r="F13">
        <v>1619.29</v>
      </c>
      <c r="G13">
        <v>1268.3900000000001</v>
      </c>
    </row>
    <row r="14" spans="1:7" x14ac:dyDescent="0.25">
      <c r="A14" t="s">
        <v>7</v>
      </c>
      <c r="B14" t="s">
        <v>13</v>
      </c>
      <c r="C14" t="s">
        <v>34</v>
      </c>
      <c r="D14" t="s">
        <v>35</v>
      </c>
      <c r="E14" t="s">
        <v>21</v>
      </c>
      <c r="F14">
        <v>1062.95</v>
      </c>
      <c r="G14">
        <v>12.54</v>
      </c>
    </row>
    <row r="15" spans="1:7" x14ac:dyDescent="0.25">
      <c r="A15" t="s">
        <v>37</v>
      </c>
      <c r="B15" t="s">
        <v>8</v>
      </c>
      <c r="C15" t="s">
        <v>14</v>
      </c>
      <c r="D15" t="s">
        <v>42</v>
      </c>
      <c r="E15" t="s">
        <v>16</v>
      </c>
      <c r="F15">
        <v>6399.74</v>
      </c>
      <c r="G15">
        <v>2725.63</v>
      </c>
    </row>
    <row r="16" spans="1:7" x14ac:dyDescent="0.25">
      <c r="A16" t="s">
        <v>7</v>
      </c>
      <c r="B16" t="s">
        <v>8</v>
      </c>
      <c r="C16" t="s">
        <v>34</v>
      </c>
      <c r="D16" t="s">
        <v>43</v>
      </c>
      <c r="E16" t="s">
        <v>27</v>
      </c>
      <c r="F16">
        <v>1184.17</v>
      </c>
      <c r="G16">
        <v>1004.27</v>
      </c>
    </row>
    <row r="17" spans="1:7" x14ac:dyDescent="0.25">
      <c r="A17" t="s">
        <v>36</v>
      </c>
      <c r="B17" t="s">
        <v>13</v>
      </c>
      <c r="C17" t="s">
        <v>19</v>
      </c>
      <c r="D17" t="s">
        <v>41</v>
      </c>
      <c r="E17" t="s">
        <v>11</v>
      </c>
      <c r="F17">
        <v>3336.38</v>
      </c>
      <c r="G17">
        <v>572.85</v>
      </c>
    </row>
    <row r="18" spans="1:7" x14ac:dyDescent="0.25">
      <c r="A18" t="s">
        <v>36</v>
      </c>
      <c r="B18" t="s">
        <v>29</v>
      </c>
      <c r="C18" t="s">
        <v>23</v>
      </c>
      <c r="D18" t="s">
        <v>44</v>
      </c>
      <c r="E18" t="s">
        <v>11</v>
      </c>
      <c r="F18">
        <v>8421.1</v>
      </c>
      <c r="G18">
        <v>831.55</v>
      </c>
    </row>
    <row r="19" spans="1:7" x14ac:dyDescent="0.25">
      <c r="A19" t="s">
        <v>36</v>
      </c>
      <c r="B19" t="s">
        <v>29</v>
      </c>
      <c r="C19" t="s">
        <v>14</v>
      </c>
      <c r="D19" t="s">
        <v>45</v>
      </c>
      <c r="E19" t="s">
        <v>33</v>
      </c>
      <c r="F19">
        <v>455.63</v>
      </c>
      <c r="G19">
        <v>319.60000000000002</v>
      </c>
    </row>
    <row r="20" spans="1:7" x14ac:dyDescent="0.25">
      <c r="A20" t="s">
        <v>7</v>
      </c>
      <c r="B20" t="s">
        <v>38</v>
      </c>
      <c r="C20" t="s">
        <v>19</v>
      </c>
      <c r="D20" t="s">
        <v>41</v>
      </c>
      <c r="E20" t="s">
        <v>27</v>
      </c>
      <c r="F20">
        <v>3638.37</v>
      </c>
      <c r="G20">
        <v>3250.9</v>
      </c>
    </row>
    <row r="21" spans="1:7" x14ac:dyDescent="0.25">
      <c r="A21" t="s">
        <v>39</v>
      </c>
      <c r="B21" t="s">
        <v>13</v>
      </c>
      <c r="C21" t="s">
        <v>9</v>
      </c>
      <c r="D21" t="s">
        <v>46</v>
      </c>
      <c r="E21" t="s">
        <v>11</v>
      </c>
      <c r="F21">
        <v>1147.8399999999999</v>
      </c>
      <c r="G21">
        <v>888.28</v>
      </c>
    </row>
    <row r="22" spans="1:7" x14ac:dyDescent="0.25">
      <c r="A22" t="s">
        <v>17</v>
      </c>
      <c r="B22" t="s">
        <v>38</v>
      </c>
      <c r="C22" t="s">
        <v>9</v>
      </c>
      <c r="D22" t="s">
        <v>10</v>
      </c>
      <c r="E22" t="s">
        <v>47</v>
      </c>
      <c r="F22">
        <v>2413.4499999999998</v>
      </c>
      <c r="G22">
        <v>254.14</v>
      </c>
    </row>
    <row r="23" spans="1:7" x14ac:dyDescent="0.25">
      <c r="A23" t="s">
        <v>22</v>
      </c>
      <c r="B23" t="s">
        <v>29</v>
      </c>
      <c r="C23" t="s">
        <v>14</v>
      </c>
      <c r="D23" t="s">
        <v>15</v>
      </c>
      <c r="E23" t="s">
        <v>27</v>
      </c>
      <c r="F23">
        <v>8105.44</v>
      </c>
      <c r="G23">
        <v>6249.24</v>
      </c>
    </row>
    <row r="24" spans="1:7" x14ac:dyDescent="0.25">
      <c r="A24" t="s">
        <v>28</v>
      </c>
      <c r="B24" t="s">
        <v>48</v>
      </c>
      <c r="C24" t="s">
        <v>34</v>
      </c>
      <c r="D24" t="s">
        <v>49</v>
      </c>
      <c r="E24" t="s">
        <v>27</v>
      </c>
      <c r="F24">
        <v>3481.09</v>
      </c>
      <c r="G24">
        <v>1954.98</v>
      </c>
    </row>
    <row r="25" spans="1:7" x14ac:dyDescent="0.25">
      <c r="A25" t="s">
        <v>39</v>
      </c>
      <c r="B25" t="s">
        <v>18</v>
      </c>
      <c r="C25" t="s">
        <v>9</v>
      </c>
      <c r="D25" t="s">
        <v>50</v>
      </c>
      <c r="E25" t="s">
        <v>11</v>
      </c>
      <c r="F25">
        <v>1366.9</v>
      </c>
      <c r="G25">
        <v>741.2</v>
      </c>
    </row>
    <row r="26" spans="1:7" x14ac:dyDescent="0.25">
      <c r="A26" t="s">
        <v>22</v>
      </c>
      <c r="B26" t="s">
        <v>29</v>
      </c>
      <c r="C26" t="s">
        <v>14</v>
      </c>
      <c r="D26" t="s">
        <v>26</v>
      </c>
      <c r="E26" t="s">
        <v>33</v>
      </c>
      <c r="F26">
        <v>5313.49</v>
      </c>
      <c r="G26">
        <v>3318.13</v>
      </c>
    </row>
    <row r="27" spans="1:7" x14ac:dyDescent="0.25">
      <c r="A27" t="s">
        <v>51</v>
      </c>
      <c r="B27" t="s">
        <v>8</v>
      </c>
      <c r="C27" t="s">
        <v>19</v>
      </c>
      <c r="D27" t="s">
        <v>52</v>
      </c>
      <c r="E27" t="s">
        <v>16</v>
      </c>
      <c r="F27">
        <v>8291.9500000000007</v>
      </c>
      <c r="G27">
        <v>6119.23</v>
      </c>
    </row>
    <row r="28" spans="1:7" x14ac:dyDescent="0.25">
      <c r="A28" t="s">
        <v>37</v>
      </c>
      <c r="B28" t="s">
        <v>18</v>
      </c>
      <c r="C28" t="s">
        <v>19</v>
      </c>
      <c r="D28" t="s">
        <v>32</v>
      </c>
      <c r="E28" t="s">
        <v>33</v>
      </c>
      <c r="F28">
        <v>6144.45</v>
      </c>
      <c r="G28">
        <v>3992.38</v>
      </c>
    </row>
    <row r="29" spans="1:7" x14ac:dyDescent="0.25">
      <c r="A29" t="s">
        <v>17</v>
      </c>
      <c r="B29" t="s">
        <v>8</v>
      </c>
      <c r="C29" t="s">
        <v>9</v>
      </c>
      <c r="D29" t="s">
        <v>53</v>
      </c>
      <c r="E29" t="s">
        <v>33</v>
      </c>
      <c r="F29">
        <v>6458.2</v>
      </c>
      <c r="G29">
        <v>585.11</v>
      </c>
    </row>
    <row r="30" spans="1:7" x14ac:dyDescent="0.25">
      <c r="A30" t="s">
        <v>7</v>
      </c>
      <c r="B30" t="s">
        <v>8</v>
      </c>
      <c r="C30" t="s">
        <v>14</v>
      </c>
      <c r="D30" t="s">
        <v>15</v>
      </c>
      <c r="E30" t="s">
        <v>11</v>
      </c>
      <c r="F30">
        <v>1714.15</v>
      </c>
      <c r="G30">
        <v>1408.89</v>
      </c>
    </row>
    <row r="31" spans="1:7" x14ac:dyDescent="0.25">
      <c r="A31" t="s">
        <v>54</v>
      </c>
      <c r="B31" t="s">
        <v>29</v>
      </c>
      <c r="C31" t="s">
        <v>19</v>
      </c>
      <c r="D31" t="s">
        <v>32</v>
      </c>
      <c r="E31" t="s">
        <v>21</v>
      </c>
      <c r="F31">
        <v>5708.29</v>
      </c>
      <c r="G31">
        <v>289.67</v>
      </c>
    </row>
    <row r="32" spans="1:7" x14ac:dyDescent="0.25">
      <c r="A32" t="s">
        <v>17</v>
      </c>
      <c r="B32" t="s">
        <v>48</v>
      </c>
      <c r="C32" t="s">
        <v>14</v>
      </c>
      <c r="D32" t="s">
        <v>42</v>
      </c>
      <c r="E32" t="s">
        <v>11</v>
      </c>
      <c r="F32">
        <v>1251.78</v>
      </c>
      <c r="G32">
        <v>478.76</v>
      </c>
    </row>
    <row r="33" spans="1:7" x14ac:dyDescent="0.25">
      <c r="A33" t="s">
        <v>39</v>
      </c>
      <c r="B33" t="s">
        <v>18</v>
      </c>
      <c r="C33" t="s">
        <v>23</v>
      </c>
      <c r="D33" t="s">
        <v>24</v>
      </c>
      <c r="E33" t="s">
        <v>11</v>
      </c>
      <c r="F33">
        <v>3720.62</v>
      </c>
      <c r="G33">
        <v>2228.4299999999998</v>
      </c>
    </row>
    <row r="34" spans="1:7" x14ac:dyDescent="0.25">
      <c r="A34" t="s">
        <v>28</v>
      </c>
      <c r="B34" t="s">
        <v>29</v>
      </c>
      <c r="C34" t="s">
        <v>19</v>
      </c>
      <c r="D34" t="s">
        <v>32</v>
      </c>
      <c r="E34" t="s">
        <v>16</v>
      </c>
      <c r="F34">
        <v>9523.52</v>
      </c>
      <c r="G34">
        <v>3268.02</v>
      </c>
    </row>
    <row r="35" spans="1:7" x14ac:dyDescent="0.25">
      <c r="A35" t="s">
        <v>39</v>
      </c>
      <c r="B35" t="s">
        <v>29</v>
      </c>
      <c r="C35" t="s">
        <v>9</v>
      </c>
      <c r="D35" t="s">
        <v>50</v>
      </c>
      <c r="E35" t="s">
        <v>11</v>
      </c>
      <c r="F35">
        <v>2774.29</v>
      </c>
      <c r="G35">
        <v>454.3</v>
      </c>
    </row>
    <row r="36" spans="1:7" x14ac:dyDescent="0.25">
      <c r="A36" t="s">
        <v>36</v>
      </c>
      <c r="B36" t="s">
        <v>48</v>
      </c>
      <c r="C36" t="s">
        <v>9</v>
      </c>
      <c r="D36" t="s">
        <v>53</v>
      </c>
      <c r="E36" t="s">
        <v>27</v>
      </c>
      <c r="F36">
        <v>3788.17</v>
      </c>
      <c r="G36">
        <v>2227.1799999999998</v>
      </c>
    </row>
    <row r="37" spans="1:7" x14ac:dyDescent="0.25">
      <c r="A37" t="s">
        <v>36</v>
      </c>
      <c r="B37" t="s">
        <v>31</v>
      </c>
      <c r="C37" t="s">
        <v>23</v>
      </c>
      <c r="D37" t="s">
        <v>24</v>
      </c>
      <c r="E37" t="s">
        <v>33</v>
      </c>
      <c r="F37">
        <v>5553.06</v>
      </c>
      <c r="G37">
        <v>2256.86</v>
      </c>
    </row>
    <row r="38" spans="1:7" x14ac:dyDescent="0.25">
      <c r="A38" t="s">
        <v>17</v>
      </c>
      <c r="B38" t="s">
        <v>48</v>
      </c>
      <c r="C38" t="s">
        <v>9</v>
      </c>
      <c r="D38" t="s">
        <v>46</v>
      </c>
      <c r="E38" t="s">
        <v>47</v>
      </c>
      <c r="F38">
        <v>7640.85</v>
      </c>
      <c r="G38">
        <v>4524.8599999999997</v>
      </c>
    </row>
    <row r="39" spans="1:7" x14ac:dyDescent="0.25">
      <c r="A39" t="s">
        <v>28</v>
      </c>
      <c r="B39" t="s">
        <v>18</v>
      </c>
      <c r="C39" t="s">
        <v>9</v>
      </c>
      <c r="D39" t="s">
        <v>46</v>
      </c>
      <c r="E39" t="s">
        <v>47</v>
      </c>
      <c r="F39">
        <v>3304.9</v>
      </c>
      <c r="G39">
        <v>1529.44</v>
      </c>
    </row>
    <row r="40" spans="1:7" x14ac:dyDescent="0.25">
      <c r="A40" t="s">
        <v>25</v>
      </c>
      <c r="B40" t="s">
        <v>48</v>
      </c>
      <c r="C40" t="s">
        <v>34</v>
      </c>
      <c r="D40" t="s">
        <v>35</v>
      </c>
      <c r="E40" t="s">
        <v>16</v>
      </c>
      <c r="F40">
        <v>6488.17</v>
      </c>
      <c r="G40">
        <v>3978.21</v>
      </c>
    </row>
    <row r="41" spans="1:7" x14ac:dyDescent="0.25">
      <c r="A41" t="s">
        <v>54</v>
      </c>
      <c r="B41" t="s">
        <v>38</v>
      </c>
      <c r="C41" t="s">
        <v>9</v>
      </c>
      <c r="D41" t="s">
        <v>53</v>
      </c>
      <c r="E41" t="s">
        <v>47</v>
      </c>
      <c r="F41">
        <v>9839.82</v>
      </c>
      <c r="G41">
        <v>3939.1</v>
      </c>
    </row>
    <row r="42" spans="1:7" x14ac:dyDescent="0.25">
      <c r="A42" t="s">
        <v>22</v>
      </c>
      <c r="B42" t="s">
        <v>29</v>
      </c>
      <c r="C42" t="s">
        <v>14</v>
      </c>
      <c r="D42" t="s">
        <v>15</v>
      </c>
      <c r="E42" t="s">
        <v>16</v>
      </c>
      <c r="F42">
        <v>3712.82</v>
      </c>
      <c r="G42">
        <v>3263.23</v>
      </c>
    </row>
    <row r="43" spans="1:7" x14ac:dyDescent="0.25">
      <c r="A43" t="s">
        <v>37</v>
      </c>
      <c r="B43" t="s">
        <v>38</v>
      </c>
      <c r="C43" t="s">
        <v>19</v>
      </c>
      <c r="D43" t="s">
        <v>41</v>
      </c>
      <c r="E43" t="s">
        <v>11</v>
      </c>
      <c r="F43">
        <v>6866.73</v>
      </c>
      <c r="G43">
        <v>4423.2700000000004</v>
      </c>
    </row>
    <row r="44" spans="1:7" x14ac:dyDescent="0.25">
      <c r="A44" t="s">
        <v>28</v>
      </c>
      <c r="B44" t="s">
        <v>48</v>
      </c>
      <c r="C44" t="s">
        <v>23</v>
      </c>
      <c r="D44" t="s">
        <v>30</v>
      </c>
      <c r="E44" t="s">
        <v>11</v>
      </c>
      <c r="F44">
        <v>6460.53</v>
      </c>
      <c r="G44">
        <v>745.41</v>
      </c>
    </row>
    <row r="45" spans="1:7" x14ac:dyDescent="0.25">
      <c r="A45" t="s">
        <v>7</v>
      </c>
      <c r="B45" t="s">
        <v>18</v>
      </c>
      <c r="C45" t="s">
        <v>9</v>
      </c>
      <c r="D45" t="s">
        <v>53</v>
      </c>
      <c r="E45" t="s">
        <v>21</v>
      </c>
      <c r="F45">
        <v>9990.16</v>
      </c>
      <c r="G45">
        <v>7152.55</v>
      </c>
    </row>
    <row r="46" spans="1:7" x14ac:dyDescent="0.25">
      <c r="A46" t="s">
        <v>25</v>
      </c>
      <c r="B46" t="s">
        <v>29</v>
      </c>
      <c r="C46" t="s">
        <v>14</v>
      </c>
      <c r="D46" t="s">
        <v>45</v>
      </c>
      <c r="E46" t="s">
        <v>11</v>
      </c>
      <c r="F46">
        <v>5484.24</v>
      </c>
      <c r="G46">
        <v>1310.53</v>
      </c>
    </row>
    <row r="47" spans="1:7" x14ac:dyDescent="0.25">
      <c r="A47" t="s">
        <v>37</v>
      </c>
      <c r="B47" t="s">
        <v>31</v>
      </c>
      <c r="C47" t="s">
        <v>34</v>
      </c>
      <c r="D47" t="s">
        <v>49</v>
      </c>
      <c r="E47" t="s">
        <v>47</v>
      </c>
      <c r="F47">
        <v>2308.25</v>
      </c>
      <c r="G47">
        <v>1842.98</v>
      </c>
    </row>
    <row r="48" spans="1:7" x14ac:dyDescent="0.25">
      <c r="A48" t="s">
        <v>12</v>
      </c>
      <c r="B48" t="s">
        <v>38</v>
      </c>
      <c r="C48" t="s">
        <v>34</v>
      </c>
      <c r="D48" t="s">
        <v>43</v>
      </c>
      <c r="E48" t="s">
        <v>21</v>
      </c>
      <c r="F48">
        <v>2676.37</v>
      </c>
      <c r="G48">
        <v>1010.73</v>
      </c>
    </row>
    <row r="49" spans="1:7" x14ac:dyDescent="0.25">
      <c r="A49" t="s">
        <v>40</v>
      </c>
      <c r="B49" t="s">
        <v>48</v>
      </c>
      <c r="C49" t="s">
        <v>19</v>
      </c>
      <c r="D49" t="s">
        <v>20</v>
      </c>
      <c r="E49" t="s">
        <v>47</v>
      </c>
      <c r="F49">
        <v>7227.06</v>
      </c>
      <c r="G49">
        <v>5149.08</v>
      </c>
    </row>
    <row r="50" spans="1:7" x14ac:dyDescent="0.25">
      <c r="A50" t="s">
        <v>36</v>
      </c>
      <c r="B50" t="s">
        <v>31</v>
      </c>
      <c r="C50" t="s">
        <v>34</v>
      </c>
      <c r="D50" t="s">
        <v>49</v>
      </c>
      <c r="E50" t="s">
        <v>27</v>
      </c>
      <c r="F50">
        <v>5372.31</v>
      </c>
      <c r="G50">
        <v>4233.07</v>
      </c>
    </row>
    <row r="51" spans="1:7" x14ac:dyDescent="0.25">
      <c r="A51" t="s">
        <v>36</v>
      </c>
      <c r="B51" t="s">
        <v>38</v>
      </c>
      <c r="C51" t="s">
        <v>34</v>
      </c>
      <c r="D51" t="s">
        <v>35</v>
      </c>
      <c r="E51" t="s">
        <v>21</v>
      </c>
      <c r="F51">
        <v>8701.17</v>
      </c>
      <c r="G51">
        <v>4410.42</v>
      </c>
    </row>
    <row r="52" spans="1:7" x14ac:dyDescent="0.25">
      <c r="A52" t="s">
        <v>17</v>
      </c>
      <c r="B52" t="s">
        <v>48</v>
      </c>
      <c r="C52" t="s">
        <v>19</v>
      </c>
      <c r="D52" t="s">
        <v>52</v>
      </c>
      <c r="E52" t="s">
        <v>47</v>
      </c>
      <c r="F52">
        <v>3021.68</v>
      </c>
      <c r="G52">
        <v>655.8</v>
      </c>
    </row>
    <row r="53" spans="1:7" x14ac:dyDescent="0.25">
      <c r="A53" t="s">
        <v>25</v>
      </c>
      <c r="B53" t="s">
        <v>31</v>
      </c>
      <c r="C53" t="s">
        <v>34</v>
      </c>
      <c r="D53" t="s">
        <v>49</v>
      </c>
      <c r="E53" t="s">
        <v>47</v>
      </c>
      <c r="F53">
        <v>8956.6299999999992</v>
      </c>
      <c r="G53">
        <v>4038.86</v>
      </c>
    </row>
    <row r="54" spans="1:7" x14ac:dyDescent="0.25">
      <c r="A54" t="s">
        <v>37</v>
      </c>
      <c r="B54" t="s">
        <v>38</v>
      </c>
      <c r="C54" t="s">
        <v>14</v>
      </c>
      <c r="D54" t="s">
        <v>42</v>
      </c>
      <c r="E54" t="s">
        <v>11</v>
      </c>
      <c r="F54">
        <v>3598.37</v>
      </c>
      <c r="G54">
        <v>2396.0500000000002</v>
      </c>
    </row>
    <row r="55" spans="1:7" x14ac:dyDescent="0.25">
      <c r="A55" t="s">
        <v>54</v>
      </c>
      <c r="B55" t="s">
        <v>13</v>
      </c>
      <c r="C55" t="s">
        <v>19</v>
      </c>
      <c r="D55" t="s">
        <v>41</v>
      </c>
      <c r="E55" t="s">
        <v>47</v>
      </c>
      <c r="F55">
        <v>2727.34</v>
      </c>
      <c r="G55">
        <v>1513.75</v>
      </c>
    </row>
    <row r="56" spans="1:7" x14ac:dyDescent="0.25">
      <c r="A56" t="s">
        <v>28</v>
      </c>
      <c r="B56" t="s">
        <v>8</v>
      </c>
      <c r="C56" t="s">
        <v>23</v>
      </c>
      <c r="D56" t="s">
        <v>55</v>
      </c>
      <c r="E56" t="s">
        <v>11</v>
      </c>
      <c r="F56">
        <v>9937.5499999999993</v>
      </c>
      <c r="G56">
        <v>7188.04</v>
      </c>
    </row>
    <row r="57" spans="1:7" x14ac:dyDescent="0.25">
      <c r="A57" t="s">
        <v>12</v>
      </c>
      <c r="B57" t="s">
        <v>29</v>
      </c>
      <c r="C57" t="s">
        <v>14</v>
      </c>
      <c r="D57" t="s">
        <v>15</v>
      </c>
      <c r="E57" t="s">
        <v>11</v>
      </c>
      <c r="F57">
        <v>5381.29</v>
      </c>
      <c r="G57">
        <v>1610.64</v>
      </c>
    </row>
    <row r="58" spans="1:7" x14ac:dyDescent="0.25">
      <c r="A58" t="s">
        <v>39</v>
      </c>
      <c r="B58" t="s">
        <v>13</v>
      </c>
      <c r="C58" t="s">
        <v>34</v>
      </c>
      <c r="D58" t="s">
        <v>35</v>
      </c>
      <c r="E58" t="s">
        <v>11</v>
      </c>
      <c r="F58">
        <v>9712.16</v>
      </c>
      <c r="G58">
        <v>6861.75</v>
      </c>
    </row>
    <row r="59" spans="1:7" x14ac:dyDescent="0.25">
      <c r="A59" t="s">
        <v>36</v>
      </c>
      <c r="B59" t="s">
        <v>29</v>
      </c>
      <c r="C59" t="s">
        <v>34</v>
      </c>
      <c r="D59" t="s">
        <v>35</v>
      </c>
      <c r="E59" t="s">
        <v>16</v>
      </c>
      <c r="F59">
        <v>9104.2900000000009</v>
      </c>
      <c r="G59">
        <v>4342.49</v>
      </c>
    </row>
    <row r="60" spans="1:7" x14ac:dyDescent="0.25">
      <c r="A60" t="s">
        <v>25</v>
      </c>
      <c r="B60" t="s">
        <v>8</v>
      </c>
      <c r="C60" t="s">
        <v>14</v>
      </c>
      <c r="D60" t="s">
        <v>45</v>
      </c>
      <c r="E60" t="s">
        <v>11</v>
      </c>
      <c r="F60">
        <v>612.22</v>
      </c>
      <c r="G60">
        <v>81.2</v>
      </c>
    </row>
    <row r="61" spans="1:7" x14ac:dyDescent="0.25">
      <c r="A61" t="s">
        <v>37</v>
      </c>
      <c r="B61" t="s">
        <v>13</v>
      </c>
      <c r="C61" t="s">
        <v>23</v>
      </c>
      <c r="D61" t="s">
        <v>24</v>
      </c>
      <c r="E61" t="s">
        <v>11</v>
      </c>
      <c r="F61">
        <v>1254.8</v>
      </c>
      <c r="G61">
        <v>348.34</v>
      </c>
    </row>
    <row r="62" spans="1:7" x14ac:dyDescent="0.25">
      <c r="A62" t="s">
        <v>17</v>
      </c>
      <c r="B62" t="s">
        <v>8</v>
      </c>
      <c r="C62" t="s">
        <v>34</v>
      </c>
      <c r="D62" t="s">
        <v>43</v>
      </c>
      <c r="E62" t="s">
        <v>21</v>
      </c>
      <c r="F62">
        <v>7302.14</v>
      </c>
      <c r="G62">
        <v>212.01</v>
      </c>
    </row>
    <row r="63" spans="1:7" x14ac:dyDescent="0.25">
      <c r="A63" t="s">
        <v>54</v>
      </c>
      <c r="B63" t="s">
        <v>31</v>
      </c>
      <c r="C63" t="s">
        <v>34</v>
      </c>
      <c r="D63" t="s">
        <v>35</v>
      </c>
      <c r="E63" t="s">
        <v>33</v>
      </c>
      <c r="F63">
        <v>7622.37</v>
      </c>
      <c r="G63">
        <v>4974.68</v>
      </c>
    </row>
    <row r="64" spans="1:7" x14ac:dyDescent="0.25">
      <c r="A64" t="s">
        <v>7</v>
      </c>
      <c r="B64" t="s">
        <v>31</v>
      </c>
      <c r="C64" t="s">
        <v>19</v>
      </c>
      <c r="D64" t="s">
        <v>41</v>
      </c>
      <c r="E64" t="s">
        <v>47</v>
      </c>
      <c r="F64">
        <v>2560.33</v>
      </c>
      <c r="G64">
        <v>1580.31</v>
      </c>
    </row>
    <row r="65" spans="1:7" x14ac:dyDescent="0.25">
      <c r="A65" t="s">
        <v>7</v>
      </c>
      <c r="B65" t="s">
        <v>8</v>
      </c>
      <c r="C65" t="s">
        <v>23</v>
      </c>
      <c r="D65" t="s">
        <v>24</v>
      </c>
      <c r="E65" t="s">
        <v>11</v>
      </c>
      <c r="F65">
        <v>2340.3000000000002</v>
      </c>
      <c r="G65">
        <v>297.27</v>
      </c>
    </row>
    <row r="66" spans="1:7" x14ac:dyDescent="0.25">
      <c r="A66" t="s">
        <v>28</v>
      </c>
      <c r="B66" t="s">
        <v>38</v>
      </c>
      <c r="C66" t="s">
        <v>14</v>
      </c>
      <c r="D66" t="s">
        <v>45</v>
      </c>
      <c r="E66" t="s">
        <v>21</v>
      </c>
      <c r="F66">
        <v>8967.25</v>
      </c>
      <c r="G66">
        <v>1088.21</v>
      </c>
    </row>
    <row r="67" spans="1:7" x14ac:dyDescent="0.25">
      <c r="A67" t="s">
        <v>51</v>
      </c>
      <c r="B67" t="s">
        <v>38</v>
      </c>
      <c r="C67" t="s">
        <v>9</v>
      </c>
      <c r="D67" t="s">
        <v>46</v>
      </c>
      <c r="E67" t="s">
        <v>21</v>
      </c>
      <c r="F67">
        <v>7815.24</v>
      </c>
      <c r="G67">
        <v>4640.09</v>
      </c>
    </row>
    <row r="68" spans="1:7" x14ac:dyDescent="0.25">
      <c r="A68" t="s">
        <v>51</v>
      </c>
      <c r="B68" t="s">
        <v>18</v>
      </c>
      <c r="C68" t="s">
        <v>14</v>
      </c>
      <c r="D68" t="s">
        <v>26</v>
      </c>
      <c r="E68" t="s">
        <v>21</v>
      </c>
      <c r="F68">
        <v>1269.5999999999999</v>
      </c>
      <c r="G68">
        <v>1097.05</v>
      </c>
    </row>
    <row r="69" spans="1:7" x14ac:dyDescent="0.25">
      <c r="A69" t="s">
        <v>36</v>
      </c>
      <c r="B69" t="s">
        <v>31</v>
      </c>
      <c r="C69" t="s">
        <v>34</v>
      </c>
      <c r="D69" t="s">
        <v>56</v>
      </c>
      <c r="E69" t="s">
        <v>16</v>
      </c>
      <c r="F69">
        <v>6333.05</v>
      </c>
      <c r="G69">
        <v>4493.8100000000004</v>
      </c>
    </row>
    <row r="70" spans="1:7" x14ac:dyDescent="0.25">
      <c r="A70" t="s">
        <v>17</v>
      </c>
      <c r="B70" t="s">
        <v>13</v>
      </c>
      <c r="C70" t="s">
        <v>19</v>
      </c>
      <c r="D70" t="s">
        <v>32</v>
      </c>
      <c r="E70" t="s">
        <v>21</v>
      </c>
      <c r="F70">
        <v>2894.66</v>
      </c>
      <c r="G70">
        <v>2417.04</v>
      </c>
    </row>
    <row r="71" spans="1:7" x14ac:dyDescent="0.25">
      <c r="A71" t="s">
        <v>17</v>
      </c>
      <c r="B71" t="s">
        <v>38</v>
      </c>
      <c r="C71" t="s">
        <v>14</v>
      </c>
      <c r="D71" t="s">
        <v>15</v>
      </c>
      <c r="E71" t="s">
        <v>11</v>
      </c>
      <c r="F71">
        <v>6710.53</v>
      </c>
      <c r="G71">
        <v>4605.67</v>
      </c>
    </row>
    <row r="72" spans="1:7" x14ac:dyDescent="0.25">
      <c r="A72" t="s">
        <v>12</v>
      </c>
      <c r="B72" t="s">
        <v>31</v>
      </c>
      <c r="C72" t="s">
        <v>23</v>
      </c>
      <c r="D72" t="s">
        <v>30</v>
      </c>
      <c r="E72" t="s">
        <v>47</v>
      </c>
      <c r="F72">
        <v>2832.91</v>
      </c>
      <c r="G72">
        <v>2464.64</v>
      </c>
    </row>
    <row r="73" spans="1:7" x14ac:dyDescent="0.25">
      <c r="A73" t="s">
        <v>36</v>
      </c>
      <c r="B73" t="s">
        <v>38</v>
      </c>
      <c r="C73" t="s">
        <v>23</v>
      </c>
      <c r="D73" t="s">
        <v>55</v>
      </c>
      <c r="E73" t="s">
        <v>21</v>
      </c>
      <c r="F73">
        <v>3711.91</v>
      </c>
      <c r="G73">
        <v>911.44</v>
      </c>
    </row>
    <row r="74" spans="1:7" x14ac:dyDescent="0.25">
      <c r="A74" t="s">
        <v>39</v>
      </c>
      <c r="B74" t="s">
        <v>18</v>
      </c>
      <c r="C74" t="s">
        <v>19</v>
      </c>
      <c r="D74" t="s">
        <v>32</v>
      </c>
      <c r="E74" t="s">
        <v>33</v>
      </c>
      <c r="F74">
        <v>5574.28</v>
      </c>
      <c r="G74">
        <v>697.25</v>
      </c>
    </row>
    <row r="75" spans="1:7" x14ac:dyDescent="0.25">
      <c r="A75" t="s">
        <v>40</v>
      </c>
      <c r="B75" t="s">
        <v>31</v>
      </c>
      <c r="C75" t="s">
        <v>14</v>
      </c>
      <c r="D75" t="s">
        <v>26</v>
      </c>
      <c r="E75" t="s">
        <v>16</v>
      </c>
      <c r="F75">
        <v>5732.96</v>
      </c>
      <c r="G75">
        <v>195.59</v>
      </c>
    </row>
    <row r="76" spans="1:7" x14ac:dyDescent="0.25">
      <c r="A76" t="s">
        <v>12</v>
      </c>
      <c r="B76" t="s">
        <v>48</v>
      </c>
      <c r="C76" t="s">
        <v>34</v>
      </c>
      <c r="D76" t="s">
        <v>35</v>
      </c>
      <c r="E76" t="s">
        <v>11</v>
      </c>
      <c r="F76">
        <v>8381.41</v>
      </c>
      <c r="G76">
        <v>6322.48</v>
      </c>
    </row>
    <row r="77" spans="1:7" x14ac:dyDescent="0.25">
      <c r="A77" t="s">
        <v>36</v>
      </c>
      <c r="B77" t="s">
        <v>18</v>
      </c>
      <c r="C77" t="s">
        <v>14</v>
      </c>
      <c r="D77" t="s">
        <v>45</v>
      </c>
      <c r="E77" t="s">
        <v>33</v>
      </c>
      <c r="F77">
        <v>6715.85</v>
      </c>
      <c r="G77">
        <v>5193.37</v>
      </c>
    </row>
    <row r="78" spans="1:7" x14ac:dyDescent="0.25">
      <c r="A78" t="s">
        <v>40</v>
      </c>
      <c r="B78" t="s">
        <v>38</v>
      </c>
      <c r="C78" t="s">
        <v>9</v>
      </c>
      <c r="D78" t="s">
        <v>53</v>
      </c>
      <c r="E78" t="s">
        <v>27</v>
      </c>
      <c r="F78">
        <v>1999.52</v>
      </c>
      <c r="G78">
        <v>676.28</v>
      </c>
    </row>
    <row r="79" spans="1:7" x14ac:dyDescent="0.25">
      <c r="A79" t="s">
        <v>28</v>
      </c>
      <c r="B79" t="s">
        <v>13</v>
      </c>
      <c r="C79" t="s">
        <v>19</v>
      </c>
      <c r="D79" t="s">
        <v>32</v>
      </c>
      <c r="E79" t="s">
        <v>21</v>
      </c>
      <c r="F79">
        <v>600.72</v>
      </c>
      <c r="G79">
        <v>139.96</v>
      </c>
    </row>
    <row r="80" spans="1:7" x14ac:dyDescent="0.25">
      <c r="A80" t="s">
        <v>7</v>
      </c>
      <c r="B80" t="s">
        <v>29</v>
      </c>
      <c r="C80" t="s">
        <v>14</v>
      </c>
      <c r="D80" t="s">
        <v>42</v>
      </c>
      <c r="E80" t="s">
        <v>11</v>
      </c>
      <c r="F80">
        <v>2127.62</v>
      </c>
      <c r="G80">
        <v>31.04</v>
      </c>
    </row>
    <row r="81" spans="1:7" x14ac:dyDescent="0.25">
      <c r="A81" t="s">
        <v>25</v>
      </c>
      <c r="B81" t="s">
        <v>48</v>
      </c>
      <c r="C81" t="s">
        <v>14</v>
      </c>
      <c r="D81" t="s">
        <v>42</v>
      </c>
      <c r="E81" t="s">
        <v>11</v>
      </c>
      <c r="F81">
        <v>3735.72</v>
      </c>
      <c r="G81">
        <v>2694.71</v>
      </c>
    </row>
    <row r="82" spans="1:7" x14ac:dyDescent="0.25">
      <c r="A82" t="s">
        <v>39</v>
      </c>
      <c r="B82" t="s">
        <v>48</v>
      </c>
      <c r="C82" t="s">
        <v>19</v>
      </c>
      <c r="D82" t="s">
        <v>20</v>
      </c>
      <c r="E82" t="s">
        <v>21</v>
      </c>
      <c r="F82">
        <v>2856.86</v>
      </c>
      <c r="G82">
        <v>2120.92</v>
      </c>
    </row>
    <row r="83" spans="1:7" x14ac:dyDescent="0.25">
      <c r="A83" t="s">
        <v>22</v>
      </c>
      <c r="B83" t="s">
        <v>13</v>
      </c>
      <c r="C83" t="s">
        <v>34</v>
      </c>
      <c r="D83" t="s">
        <v>35</v>
      </c>
      <c r="E83" t="s">
        <v>47</v>
      </c>
      <c r="F83">
        <v>1342.77</v>
      </c>
      <c r="G83">
        <v>980.78</v>
      </c>
    </row>
    <row r="84" spans="1:7" x14ac:dyDescent="0.25">
      <c r="A84" t="s">
        <v>28</v>
      </c>
      <c r="B84" t="s">
        <v>48</v>
      </c>
      <c r="C84" t="s">
        <v>14</v>
      </c>
      <c r="D84" t="s">
        <v>15</v>
      </c>
      <c r="E84" t="s">
        <v>16</v>
      </c>
      <c r="F84">
        <v>4869.2299999999996</v>
      </c>
      <c r="G84">
        <v>3917.47</v>
      </c>
    </row>
    <row r="85" spans="1:7" x14ac:dyDescent="0.25">
      <c r="A85" t="s">
        <v>54</v>
      </c>
      <c r="B85" t="s">
        <v>38</v>
      </c>
      <c r="C85" t="s">
        <v>19</v>
      </c>
      <c r="D85" t="s">
        <v>32</v>
      </c>
      <c r="E85" t="s">
        <v>11</v>
      </c>
      <c r="F85">
        <v>5444.61</v>
      </c>
      <c r="G85">
        <v>1132.7</v>
      </c>
    </row>
    <row r="86" spans="1:7" x14ac:dyDescent="0.25">
      <c r="A86" t="s">
        <v>22</v>
      </c>
      <c r="B86" t="s">
        <v>18</v>
      </c>
      <c r="C86" t="s">
        <v>9</v>
      </c>
      <c r="D86" t="s">
        <v>10</v>
      </c>
      <c r="E86" t="s">
        <v>11</v>
      </c>
      <c r="F86">
        <v>5891.91</v>
      </c>
      <c r="G86">
        <v>445.9</v>
      </c>
    </row>
    <row r="87" spans="1:7" x14ac:dyDescent="0.25">
      <c r="A87" t="s">
        <v>51</v>
      </c>
      <c r="B87" t="s">
        <v>18</v>
      </c>
      <c r="C87" t="s">
        <v>23</v>
      </c>
      <c r="D87" t="s">
        <v>24</v>
      </c>
      <c r="E87" t="s">
        <v>33</v>
      </c>
      <c r="F87">
        <v>949.88</v>
      </c>
      <c r="G87">
        <v>578.25</v>
      </c>
    </row>
    <row r="88" spans="1:7" x14ac:dyDescent="0.25">
      <c r="A88" t="s">
        <v>17</v>
      </c>
      <c r="B88" t="s">
        <v>48</v>
      </c>
      <c r="C88" t="s">
        <v>19</v>
      </c>
      <c r="D88" t="s">
        <v>32</v>
      </c>
      <c r="E88" t="s">
        <v>16</v>
      </c>
      <c r="F88">
        <v>580.63</v>
      </c>
      <c r="G88">
        <v>126.29</v>
      </c>
    </row>
    <row r="89" spans="1:7" x14ac:dyDescent="0.25">
      <c r="A89" t="s">
        <v>37</v>
      </c>
      <c r="B89" t="s">
        <v>29</v>
      </c>
      <c r="C89" t="s">
        <v>14</v>
      </c>
      <c r="D89" t="s">
        <v>42</v>
      </c>
      <c r="E89" t="s">
        <v>16</v>
      </c>
      <c r="F89">
        <v>4376.82</v>
      </c>
      <c r="G89">
        <v>2440.69</v>
      </c>
    </row>
    <row r="90" spans="1:7" x14ac:dyDescent="0.25">
      <c r="A90" t="s">
        <v>22</v>
      </c>
      <c r="B90" t="s">
        <v>48</v>
      </c>
      <c r="C90" t="s">
        <v>23</v>
      </c>
      <c r="D90" t="s">
        <v>30</v>
      </c>
      <c r="E90" t="s">
        <v>16</v>
      </c>
      <c r="F90">
        <v>5329.19</v>
      </c>
      <c r="G90">
        <v>709.28</v>
      </c>
    </row>
    <row r="91" spans="1:7" x14ac:dyDescent="0.25">
      <c r="A91" t="s">
        <v>12</v>
      </c>
      <c r="B91" t="s">
        <v>48</v>
      </c>
      <c r="C91" t="s">
        <v>9</v>
      </c>
      <c r="D91" t="s">
        <v>46</v>
      </c>
      <c r="E91" t="s">
        <v>21</v>
      </c>
      <c r="F91">
        <v>4789.41</v>
      </c>
      <c r="G91">
        <v>2629.17</v>
      </c>
    </row>
    <row r="92" spans="1:7" x14ac:dyDescent="0.25">
      <c r="A92" t="s">
        <v>28</v>
      </c>
      <c r="B92" t="s">
        <v>31</v>
      </c>
      <c r="C92" t="s">
        <v>34</v>
      </c>
      <c r="D92" t="s">
        <v>56</v>
      </c>
      <c r="E92" t="s">
        <v>47</v>
      </c>
      <c r="F92">
        <v>2299.36</v>
      </c>
      <c r="G92">
        <v>1915.5</v>
      </c>
    </row>
    <row r="93" spans="1:7" x14ac:dyDescent="0.25">
      <c r="A93" t="s">
        <v>25</v>
      </c>
      <c r="B93" t="s">
        <v>29</v>
      </c>
      <c r="C93" t="s">
        <v>14</v>
      </c>
      <c r="D93" t="s">
        <v>42</v>
      </c>
      <c r="E93" t="s">
        <v>21</v>
      </c>
      <c r="F93">
        <v>745.98</v>
      </c>
      <c r="G93">
        <v>277.54000000000002</v>
      </c>
    </row>
    <row r="94" spans="1:7" x14ac:dyDescent="0.25">
      <c r="A94" t="s">
        <v>12</v>
      </c>
      <c r="B94" t="s">
        <v>31</v>
      </c>
      <c r="C94" t="s">
        <v>19</v>
      </c>
      <c r="D94" t="s">
        <v>41</v>
      </c>
      <c r="E94" t="s">
        <v>21</v>
      </c>
      <c r="F94">
        <v>8558.85</v>
      </c>
      <c r="G94">
        <v>4423.1000000000004</v>
      </c>
    </row>
    <row r="95" spans="1:7" x14ac:dyDescent="0.25">
      <c r="A95" t="s">
        <v>37</v>
      </c>
      <c r="B95" t="s">
        <v>13</v>
      </c>
      <c r="C95" t="s">
        <v>19</v>
      </c>
      <c r="D95" t="s">
        <v>20</v>
      </c>
      <c r="E95" t="s">
        <v>11</v>
      </c>
      <c r="F95">
        <v>1630.03</v>
      </c>
      <c r="G95">
        <v>948.42</v>
      </c>
    </row>
    <row r="96" spans="1:7" x14ac:dyDescent="0.25">
      <c r="A96" t="s">
        <v>12</v>
      </c>
      <c r="B96" t="s">
        <v>29</v>
      </c>
      <c r="C96" t="s">
        <v>34</v>
      </c>
      <c r="D96" t="s">
        <v>43</v>
      </c>
      <c r="E96" t="s">
        <v>11</v>
      </c>
      <c r="F96">
        <v>3582.45</v>
      </c>
      <c r="G96">
        <v>944.91</v>
      </c>
    </row>
    <row r="97" spans="1:7" x14ac:dyDescent="0.25">
      <c r="A97" t="s">
        <v>12</v>
      </c>
      <c r="B97" t="s">
        <v>29</v>
      </c>
      <c r="C97" t="s">
        <v>34</v>
      </c>
      <c r="D97" t="s">
        <v>43</v>
      </c>
      <c r="E97" t="s">
        <v>16</v>
      </c>
      <c r="F97">
        <v>4806.49</v>
      </c>
      <c r="G97">
        <v>842.36</v>
      </c>
    </row>
    <row r="98" spans="1:7" x14ac:dyDescent="0.25">
      <c r="A98" t="s">
        <v>37</v>
      </c>
      <c r="B98" t="s">
        <v>31</v>
      </c>
      <c r="C98" t="s">
        <v>34</v>
      </c>
      <c r="D98" t="s">
        <v>35</v>
      </c>
      <c r="E98" t="s">
        <v>11</v>
      </c>
      <c r="F98">
        <v>8035.93</v>
      </c>
      <c r="G98">
        <v>2917.09</v>
      </c>
    </row>
    <row r="99" spans="1:7" x14ac:dyDescent="0.25">
      <c r="A99" t="s">
        <v>17</v>
      </c>
      <c r="B99" t="s">
        <v>8</v>
      </c>
      <c r="C99" t="s">
        <v>23</v>
      </c>
      <c r="D99" t="s">
        <v>30</v>
      </c>
      <c r="E99" t="s">
        <v>11</v>
      </c>
      <c r="F99">
        <v>1021.24</v>
      </c>
      <c r="G99">
        <v>407.07</v>
      </c>
    </row>
    <row r="100" spans="1:7" x14ac:dyDescent="0.25">
      <c r="A100" t="s">
        <v>25</v>
      </c>
      <c r="B100" t="s">
        <v>29</v>
      </c>
      <c r="C100" t="s">
        <v>9</v>
      </c>
      <c r="D100" t="s">
        <v>46</v>
      </c>
      <c r="E100" t="s">
        <v>33</v>
      </c>
      <c r="F100">
        <v>3527.69</v>
      </c>
      <c r="G100">
        <v>1180.96</v>
      </c>
    </row>
    <row r="101" spans="1:7" x14ac:dyDescent="0.25">
      <c r="A101" t="s">
        <v>40</v>
      </c>
      <c r="B101" t="s">
        <v>38</v>
      </c>
      <c r="C101" t="s">
        <v>23</v>
      </c>
      <c r="D101" t="s">
        <v>24</v>
      </c>
      <c r="E101" t="s">
        <v>47</v>
      </c>
      <c r="F101">
        <v>5826.46</v>
      </c>
      <c r="G101">
        <v>4300.93</v>
      </c>
    </row>
    <row r="102" spans="1:7" x14ac:dyDescent="0.25">
      <c r="A102" t="s">
        <v>51</v>
      </c>
      <c r="B102" t="s">
        <v>13</v>
      </c>
      <c r="C102" t="s">
        <v>14</v>
      </c>
      <c r="D102" t="s">
        <v>15</v>
      </c>
      <c r="E102" t="s">
        <v>11</v>
      </c>
      <c r="F102">
        <v>9376.5</v>
      </c>
      <c r="G102">
        <v>917.14</v>
      </c>
    </row>
    <row r="103" spans="1:7" x14ac:dyDescent="0.25">
      <c r="A103" t="s">
        <v>17</v>
      </c>
      <c r="B103" t="s">
        <v>8</v>
      </c>
      <c r="C103" t="s">
        <v>23</v>
      </c>
      <c r="D103" t="s">
        <v>44</v>
      </c>
      <c r="E103" t="s">
        <v>27</v>
      </c>
      <c r="F103">
        <v>3645.5</v>
      </c>
      <c r="G103">
        <v>687.2</v>
      </c>
    </row>
    <row r="104" spans="1:7" x14ac:dyDescent="0.25">
      <c r="A104" t="s">
        <v>37</v>
      </c>
      <c r="B104" t="s">
        <v>31</v>
      </c>
      <c r="C104" t="s">
        <v>19</v>
      </c>
      <c r="D104" t="s">
        <v>41</v>
      </c>
      <c r="E104" t="s">
        <v>11</v>
      </c>
      <c r="F104">
        <v>666.75</v>
      </c>
      <c r="G104">
        <v>412.78</v>
      </c>
    </row>
    <row r="105" spans="1:7" x14ac:dyDescent="0.25">
      <c r="A105" t="s">
        <v>28</v>
      </c>
      <c r="B105" t="s">
        <v>18</v>
      </c>
      <c r="C105" t="s">
        <v>19</v>
      </c>
      <c r="D105" t="s">
        <v>41</v>
      </c>
      <c r="E105" t="s">
        <v>21</v>
      </c>
      <c r="F105">
        <v>5020.32</v>
      </c>
      <c r="G105">
        <v>1839.86</v>
      </c>
    </row>
    <row r="106" spans="1:7" x14ac:dyDescent="0.25">
      <c r="A106" t="s">
        <v>7</v>
      </c>
      <c r="B106" t="s">
        <v>13</v>
      </c>
      <c r="C106" t="s">
        <v>23</v>
      </c>
      <c r="D106" t="s">
        <v>30</v>
      </c>
      <c r="E106" t="s">
        <v>11</v>
      </c>
      <c r="F106">
        <v>2664</v>
      </c>
      <c r="G106">
        <v>1103.1400000000001</v>
      </c>
    </row>
    <row r="107" spans="1:7" x14ac:dyDescent="0.25">
      <c r="A107" t="s">
        <v>39</v>
      </c>
      <c r="B107" t="s">
        <v>13</v>
      </c>
      <c r="C107" t="s">
        <v>23</v>
      </c>
      <c r="D107" t="s">
        <v>55</v>
      </c>
      <c r="E107" t="s">
        <v>16</v>
      </c>
      <c r="F107">
        <v>6252.79</v>
      </c>
      <c r="G107">
        <v>4829.1099999999997</v>
      </c>
    </row>
    <row r="108" spans="1:7" x14ac:dyDescent="0.25">
      <c r="A108" t="s">
        <v>39</v>
      </c>
      <c r="B108" t="s">
        <v>38</v>
      </c>
      <c r="C108" t="s">
        <v>14</v>
      </c>
      <c r="D108" t="s">
        <v>15</v>
      </c>
      <c r="E108" t="s">
        <v>47</v>
      </c>
      <c r="F108">
        <v>7547.82</v>
      </c>
      <c r="G108">
        <v>3850.16</v>
      </c>
    </row>
    <row r="109" spans="1:7" x14ac:dyDescent="0.25">
      <c r="A109" t="s">
        <v>36</v>
      </c>
      <c r="B109" t="s">
        <v>48</v>
      </c>
      <c r="C109" t="s">
        <v>19</v>
      </c>
      <c r="D109" t="s">
        <v>32</v>
      </c>
      <c r="E109" t="s">
        <v>47</v>
      </c>
      <c r="F109">
        <v>9636.9500000000007</v>
      </c>
      <c r="G109">
        <v>845.42</v>
      </c>
    </row>
    <row r="110" spans="1:7" x14ac:dyDescent="0.25">
      <c r="A110" t="s">
        <v>36</v>
      </c>
      <c r="B110" t="s">
        <v>29</v>
      </c>
      <c r="C110" t="s">
        <v>14</v>
      </c>
      <c r="D110" t="s">
        <v>15</v>
      </c>
      <c r="E110" t="s">
        <v>21</v>
      </c>
      <c r="F110">
        <v>352.89</v>
      </c>
      <c r="G110">
        <v>101.3</v>
      </c>
    </row>
    <row r="111" spans="1:7" x14ac:dyDescent="0.25">
      <c r="A111" t="s">
        <v>7</v>
      </c>
      <c r="B111" t="s">
        <v>13</v>
      </c>
      <c r="C111" t="s">
        <v>34</v>
      </c>
      <c r="D111" t="s">
        <v>35</v>
      </c>
      <c r="E111" t="s">
        <v>47</v>
      </c>
      <c r="F111">
        <v>5059.7</v>
      </c>
      <c r="G111">
        <v>919.79</v>
      </c>
    </row>
    <row r="112" spans="1:7" x14ac:dyDescent="0.25">
      <c r="A112" t="s">
        <v>39</v>
      </c>
      <c r="B112" t="s">
        <v>18</v>
      </c>
      <c r="C112" t="s">
        <v>19</v>
      </c>
      <c r="D112" t="s">
        <v>20</v>
      </c>
      <c r="E112" t="s">
        <v>16</v>
      </c>
      <c r="F112">
        <v>7407.02</v>
      </c>
      <c r="G112">
        <v>90.8</v>
      </c>
    </row>
    <row r="113" spans="1:7" x14ac:dyDescent="0.25">
      <c r="A113" t="s">
        <v>37</v>
      </c>
      <c r="B113" t="s">
        <v>29</v>
      </c>
      <c r="C113" t="s">
        <v>9</v>
      </c>
      <c r="D113" t="s">
        <v>46</v>
      </c>
      <c r="E113" t="s">
        <v>27</v>
      </c>
      <c r="F113">
        <v>6667.62</v>
      </c>
      <c r="G113">
        <v>1713.38</v>
      </c>
    </row>
    <row r="114" spans="1:7" x14ac:dyDescent="0.25">
      <c r="A114" t="s">
        <v>51</v>
      </c>
      <c r="B114" t="s">
        <v>8</v>
      </c>
      <c r="C114" t="s">
        <v>9</v>
      </c>
      <c r="D114" t="s">
        <v>46</v>
      </c>
      <c r="E114" t="s">
        <v>11</v>
      </c>
      <c r="F114">
        <v>3322.06</v>
      </c>
      <c r="G114">
        <v>2562.04</v>
      </c>
    </row>
    <row r="115" spans="1:7" x14ac:dyDescent="0.25">
      <c r="A115" t="s">
        <v>51</v>
      </c>
      <c r="B115" t="s">
        <v>29</v>
      </c>
      <c r="C115" t="s">
        <v>34</v>
      </c>
      <c r="D115" t="s">
        <v>49</v>
      </c>
      <c r="E115" t="s">
        <v>21</v>
      </c>
      <c r="F115">
        <v>6843.25</v>
      </c>
      <c r="G115">
        <v>2110.91</v>
      </c>
    </row>
    <row r="116" spans="1:7" x14ac:dyDescent="0.25">
      <c r="A116" t="s">
        <v>36</v>
      </c>
      <c r="B116" t="s">
        <v>31</v>
      </c>
      <c r="C116" t="s">
        <v>14</v>
      </c>
      <c r="D116" t="s">
        <v>45</v>
      </c>
      <c r="E116" t="s">
        <v>21</v>
      </c>
      <c r="F116">
        <v>2571.37</v>
      </c>
      <c r="G116">
        <v>1336.75</v>
      </c>
    </row>
    <row r="117" spans="1:7" x14ac:dyDescent="0.25">
      <c r="A117" t="s">
        <v>40</v>
      </c>
      <c r="B117" t="s">
        <v>31</v>
      </c>
      <c r="C117" t="s">
        <v>23</v>
      </c>
      <c r="D117" t="s">
        <v>24</v>
      </c>
      <c r="E117" t="s">
        <v>16</v>
      </c>
      <c r="F117">
        <v>7479.72</v>
      </c>
      <c r="G117">
        <v>3389.93</v>
      </c>
    </row>
    <row r="118" spans="1:7" x14ac:dyDescent="0.25">
      <c r="A118" t="s">
        <v>39</v>
      </c>
      <c r="B118" t="s">
        <v>13</v>
      </c>
      <c r="C118" t="s">
        <v>34</v>
      </c>
      <c r="D118" t="s">
        <v>43</v>
      </c>
      <c r="E118" t="s">
        <v>11</v>
      </c>
      <c r="F118">
        <v>7591.39</v>
      </c>
      <c r="G118">
        <v>3261.65</v>
      </c>
    </row>
    <row r="119" spans="1:7" x14ac:dyDescent="0.25">
      <c r="A119" t="s">
        <v>54</v>
      </c>
      <c r="B119" t="s">
        <v>48</v>
      </c>
      <c r="C119" t="s">
        <v>19</v>
      </c>
      <c r="D119" t="s">
        <v>52</v>
      </c>
      <c r="E119" t="s">
        <v>27</v>
      </c>
      <c r="F119">
        <v>8744.75</v>
      </c>
      <c r="G119">
        <v>4083.16</v>
      </c>
    </row>
    <row r="120" spans="1:7" x14ac:dyDescent="0.25">
      <c r="A120" t="s">
        <v>25</v>
      </c>
      <c r="B120" t="s">
        <v>48</v>
      </c>
      <c r="C120" t="s">
        <v>19</v>
      </c>
      <c r="D120" t="s">
        <v>20</v>
      </c>
      <c r="E120" t="s">
        <v>11</v>
      </c>
      <c r="F120">
        <v>6543.09</v>
      </c>
      <c r="G120">
        <v>4343.0200000000004</v>
      </c>
    </row>
    <row r="121" spans="1:7" x14ac:dyDescent="0.25">
      <c r="A121" t="s">
        <v>37</v>
      </c>
      <c r="B121" t="s">
        <v>29</v>
      </c>
      <c r="C121" t="s">
        <v>23</v>
      </c>
      <c r="D121" t="s">
        <v>44</v>
      </c>
      <c r="E121" t="s">
        <v>11</v>
      </c>
      <c r="F121">
        <v>9451.36</v>
      </c>
      <c r="G121">
        <v>3445.57</v>
      </c>
    </row>
    <row r="122" spans="1:7" x14ac:dyDescent="0.25">
      <c r="A122" t="s">
        <v>37</v>
      </c>
      <c r="B122" t="s">
        <v>38</v>
      </c>
      <c r="C122" t="s">
        <v>9</v>
      </c>
      <c r="D122" t="s">
        <v>50</v>
      </c>
      <c r="E122" t="s">
        <v>33</v>
      </c>
      <c r="F122">
        <v>1622.03</v>
      </c>
      <c r="G122">
        <v>164.11</v>
      </c>
    </row>
    <row r="123" spans="1:7" x14ac:dyDescent="0.25">
      <c r="A123" t="s">
        <v>40</v>
      </c>
      <c r="B123" t="s">
        <v>38</v>
      </c>
      <c r="C123" t="s">
        <v>23</v>
      </c>
      <c r="D123" t="s">
        <v>30</v>
      </c>
      <c r="E123" t="s">
        <v>11</v>
      </c>
      <c r="F123">
        <v>5157.5600000000004</v>
      </c>
      <c r="G123">
        <v>3843.67</v>
      </c>
    </row>
    <row r="124" spans="1:7" x14ac:dyDescent="0.25">
      <c r="A124" t="s">
        <v>39</v>
      </c>
      <c r="B124" t="s">
        <v>48</v>
      </c>
      <c r="C124" t="s">
        <v>34</v>
      </c>
      <c r="D124" t="s">
        <v>43</v>
      </c>
      <c r="E124" t="s">
        <v>11</v>
      </c>
      <c r="F124">
        <v>7831.92</v>
      </c>
      <c r="G124">
        <v>6310.48</v>
      </c>
    </row>
    <row r="125" spans="1:7" x14ac:dyDescent="0.25">
      <c r="A125" t="s">
        <v>51</v>
      </c>
      <c r="B125" t="s">
        <v>38</v>
      </c>
      <c r="C125" t="s">
        <v>9</v>
      </c>
      <c r="D125" t="s">
        <v>10</v>
      </c>
      <c r="E125" t="s">
        <v>21</v>
      </c>
      <c r="F125">
        <v>4722.2299999999996</v>
      </c>
      <c r="G125">
        <v>2653.62</v>
      </c>
    </row>
    <row r="126" spans="1:7" x14ac:dyDescent="0.25">
      <c r="A126" t="s">
        <v>40</v>
      </c>
      <c r="B126" t="s">
        <v>8</v>
      </c>
      <c r="C126" t="s">
        <v>9</v>
      </c>
      <c r="D126" t="s">
        <v>50</v>
      </c>
      <c r="E126" t="s">
        <v>27</v>
      </c>
      <c r="F126">
        <v>2235.4</v>
      </c>
      <c r="G126">
        <v>976.75</v>
      </c>
    </row>
    <row r="127" spans="1:7" x14ac:dyDescent="0.25">
      <c r="A127" t="s">
        <v>17</v>
      </c>
      <c r="B127" t="s">
        <v>29</v>
      </c>
      <c r="C127" t="s">
        <v>19</v>
      </c>
      <c r="D127" t="s">
        <v>41</v>
      </c>
      <c r="E127" t="s">
        <v>11</v>
      </c>
      <c r="F127">
        <v>8559.49</v>
      </c>
      <c r="G127">
        <v>4310.71</v>
      </c>
    </row>
    <row r="128" spans="1:7" x14ac:dyDescent="0.25">
      <c r="A128" t="s">
        <v>12</v>
      </c>
      <c r="B128" t="s">
        <v>31</v>
      </c>
      <c r="C128" t="s">
        <v>9</v>
      </c>
      <c r="D128" t="s">
        <v>53</v>
      </c>
      <c r="E128" t="s">
        <v>27</v>
      </c>
      <c r="F128">
        <v>960.08</v>
      </c>
      <c r="G128">
        <v>117.05</v>
      </c>
    </row>
    <row r="129" spans="1:7" x14ac:dyDescent="0.25">
      <c r="A129" t="s">
        <v>37</v>
      </c>
      <c r="B129" t="s">
        <v>38</v>
      </c>
      <c r="C129" t="s">
        <v>14</v>
      </c>
      <c r="D129" t="s">
        <v>45</v>
      </c>
      <c r="E129" t="s">
        <v>33</v>
      </c>
      <c r="F129">
        <v>7735.05</v>
      </c>
      <c r="G129">
        <v>908.26</v>
      </c>
    </row>
    <row r="130" spans="1:7" x14ac:dyDescent="0.25">
      <c r="A130" t="s">
        <v>54</v>
      </c>
      <c r="B130" t="s">
        <v>8</v>
      </c>
      <c r="C130" t="s">
        <v>19</v>
      </c>
      <c r="D130" t="s">
        <v>32</v>
      </c>
      <c r="E130" t="s">
        <v>21</v>
      </c>
      <c r="F130">
        <v>4084.07</v>
      </c>
      <c r="G130">
        <v>2888.94</v>
      </c>
    </row>
    <row r="131" spans="1:7" x14ac:dyDescent="0.25">
      <c r="A131" t="s">
        <v>51</v>
      </c>
      <c r="B131" t="s">
        <v>38</v>
      </c>
      <c r="C131" t="s">
        <v>19</v>
      </c>
      <c r="D131" t="s">
        <v>41</v>
      </c>
      <c r="E131" t="s">
        <v>33</v>
      </c>
      <c r="F131">
        <v>933.26</v>
      </c>
      <c r="G131">
        <v>509.09</v>
      </c>
    </row>
    <row r="132" spans="1:7" x14ac:dyDescent="0.25">
      <c r="A132" t="s">
        <v>51</v>
      </c>
      <c r="B132" t="s">
        <v>29</v>
      </c>
      <c r="C132" t="s">
        <v>14</v>
      </c>
      <c r="D132" t="s">
        <v>26</v>
      </c>
      <c r="E132" t="s">
        <v>21</v>
      </c>
      <c r="F132">
        <v>2900.45</v>
      </c>
      <c r="G132">
        <v>18.82</v>
      </c>
    </row>
    <row r="133" spans="1:7" x14ac:dyDescent="0.25">
      <c r="A133" t="s">
        <v>51</v>
      </c>
      <c r="B133" t="s">
        <v>8</v>
      </c>
      <c r="C133" t="s">
        <v>34</v>
      </c>
      <c r="D133" t="s">
        <v>49</v>
      </c>
      <c r="E133" t="s">
        <v>27</v>
      </c>
      <c r="F133">
        <v>5890.36</v>
      </c>
      <c r="G133">
        <v>371.14</v>
      </c>
    </row>
    <row r="134" spans="1:7" x14ac:dyDescent="0.25">
      <c r="A134" t="s">
        <v>17</v>
      </c>
      <c r="B134" t="s">
        <v>38</v>
      </c>
      <c r="C134" t="s">
        <v>9</v>
      </c>
      <c r="D134" t="s">
        <v>10</v>
      </c>
      <c r="E134" t="s">
        <v>11</v>
      </c>
      <c r="F134">
        <v>6569.98</v>
      </c>
      <c r="G134">
        <v>3789.26</v>
      </c>
    </row>
    <row r="135" spans="1:7" x14ac:dyDescent="0.25">
      <c r="A135" t="s">
        <v>25</v>
      </c>
      <c r="B135" t="s">
        <v>18</v>
      </c>
      <c r="C135" t="s">
        <v>9</v>
      </c>
      <c r="D135" t="s">
        <v>53</v>
      </c>
      <c r="E135" t="s">
        <v>11</v>
      </c>
      <c r="F135">
        <v>8306.7000000000007</v>
      </c>
      <c r="G135">
        <v>2662.93</v>
      </c>
    </row>
    <row r="136" spans="1:7" x14ac:dyDescent="0.25">
      <c r="A136" t="s">
        <v>36</v>
      </c>
      <c r="B136" t="s">
        <v>8</v>
      </c>
      <c r="C136" t="s">
        <v>23</v>
      </c>
      <c r="D136" t="s">
        <v>44</v>
      </c>
      <c r="E136" t="s">
        <v>47</v>
      </c>
      <c r="F136">
        <v>3571.72</v>
      </c>
      <c r="G136">
        <v>152.5</v>
      </c>
    </row>
    <row r="137" spans="1:7" x14ac:dyDescent="0.25">
      <c r="A137" t="s">
        <v>54</v>
      </c>
      <c r="B137" t="s">
        <v>29</v>
      </c>
      <c r="C137" t="s">
        <v>9</v>
      </c>
      <c r="D137" t="s">
        <v>50</v>
      </c>
      <c r="E137" t="s">
        <v>11</v>
      </c>
      <c r="F137">
        <v>5441.76</v>
      </c>
      <c r="G137">
        <v>531.24</v>
      </c>
    </row>
    <row r="138" spans="1:7" x14ac:dyDescent="0.25">
      <c r="A138" t="s">
        <v>7</v>
      </c>
      <c r="B138" t="s">
        <v>38</v>
      </c>
      <c r="C138" t="s">
        <v>23</v>
      </c>
      <c r="D138" t="s">
        <v>30</v>
      </c>
      <c r="E138" t="s">
        <v>33</v>
      </c>
      <c r="F138">
        <v>5487.68</v>
      </c>
      <c r="G138">
        <v>818.16</v>
      </c>
    </row>
    <row r="139" spans="1:7" x14ac:dyDescent="0.25">
      <c r="A139" t="s">
        <v>54</v>
      </c>
      <c r="B139" t="s">
        <v>31</v>
      </c>
      <c r="C139" t="s">
        <v>34</v>
      </c>
      <c r="D139" t="s">
        <v>35</v>
      </c>
      <c r="E139" t="s">
        <v>33</v>
      </c>
      <c r="F139">
        <v>1470.28</v>
      </c>
      <c r="G139">
        <v>934.06</v>
      </c>
    </row>
    <row r="140" spans="1:7" x14ac:dyDescent="0.25">
      <c r="A140" t="s">
        <v>22</v>
      </c>
      <c r="B140" t="s">
        <v>8</v>
      </c>
      <c r="C140" t="s">
        <v>14</v>
      </c>
      <c r="D140" t="s">
        <v>15</v>
      </c>
      <c r="E140" t="s">
        <v>27</v>
      </c>
      <c r="F140">
        <v>4247.75</v>
      </c>
      <c r="G140">
        <v>1950.02</v>
      </c>
    </row>
    <row r="141" spans="1:7" x14ac:dyDescent="0.25">
      <c r="A141" t="s">
        <v>17</v>
      </c>
      <c r="B141" t="s">
        <v>8</v>
      </c>
      <c r="C141" t="s">
        <v>34</v>
      </c>
      <c r="D141" t="s">
        <v>56</v>
      </c>
      <c r="E141" t="s">
        <v>47</v>
      </c>
      <c r="F141">
        <v>3686.64</v>
      </c>
      <c r="G141">
        <v>187.65</v>
      </c>
    </row>
    <row r="142" spans="1:7" x14ac:dyDescent="0.25">
      <c r="A142" t="s">
        <v>36</v>
      </c>
      <c r="B142" t="s">
        <v>8</v>
      </c>
      <c r="C142" t="s">
        <v>23</v>
      </c>
      <c r="D142" t="s">
        <v>24</v>
      </c>
      <c r="E142" t="s">
        <v>33</v>
      </c>
      <c r="F142">
        <v>5623.85</v>
      </c>
      <c r="G142">
        <v>612.91</v>
      </c>
    </row>
    <row r="143" spans="1:7" x14ac:dyDescent="0.25">
      <c r="A143" t="s">
        <v>12</v>
      </c>
      <c r="B143" t="s">
        <v>13</v>
      </c>
      <c r="C143" t="s">
        <v>9</v>
      </c>
      <c r="D143" t="s">
        <v>53</v>
      </c>
      <c r="E143" t="s">
        <v>16</v>
      </c>
      <c r="F143">
        <v>177.48</v>
      </c>
      <c r="G143">
        <v>125.73</v>
      </c>
    </row>
    <row r="144" spans="1:7" x14ac:dyDescent="0.25">
      <c r="A144" t="s">
        <v>28</v>
      </c>
      <c r="B144" t="s">
        <v>18</v>
      </c>
      <c r="C144" t="s">
        <v>19</v>
      </c>
      <c r="D144" t="s">
        <v>41</v>
      </c>
      <c r="E144" t="s">
        <v>27</v>
      </c>
      <c r="F144">
        <v>3789.4</v>
      </c>
      <c r="G144">
        <v>898.71</v>
      </c>
    </row>
    <row r="145" spans="1:7" x14ac:dyDescent="0.25">
      <c r="A145" t="s">
        <v>39</v>
      </c>
      <c r="B145" t="s">
        <v>48</v>
      </c>
      <c r="C145" t="s">
        <v>23</v>
      </c>
      <c r="D145" t="s">
        <v>44</v>
      </c>
      <c r="E145" t="s">
        <v>47</v>
      </c>
      <c r="F145">
        <v>3978.59</v>
      </c>
      <c r="G145">
        <v>1547.92</v>
      </c>
    </row>
    <row r="146" spans="1:7" x14ac:dyDescent="0.25">
      <c r="A146" t="s">
        <v>37</v>
      </c>
      <c r="B146" t="s">
        <v>29</v>
      </c>
      <c r="C146" t="s">
        <v>34</v>
      </c>
      <c r="D146" t="s">
        <v>56</v>
      </c>
      <c r="E146" t="s">
        <v>11</v>
      </c>
      <c r="F146">
        <v>3113.91</v>
      </c>
      <c r="G146">
        <v>1677.53</v>
      </c>
    </row>
    <row r="147" spans="1:7" x14ac:dyDescent="0.25">
      <c r="A147" t="s">
        <v>54</v>
      </c>
      <c r="B147" t="s">
        <v>48</v>
      </c>
      <c r="C147" t="s">
        <v>23</v>
      </c>
      <c r="D147" t="s">
        <v>55</v>
      </c>
      <c r="E147" t="s">
        <v>27</v>
      </c>
      <c r="F147">
        <v>7246.84</v>
      </c>
      <c r="G147">
        <v>6341.08</v>
      </c>
    </row>
    <row r="148" spans="1:7" x14ac:dyDescent="0.25">
      <c r="A148" t="s">
        <v>28</v>
      </c>
      <c r="B148" t="s">
        <v>13</v>
      </c>
      <c r="C148" t="s">
        <v>14</v>
      </c>
      <c r="D148" t="s">
        <v>26</v>
      </c>
      <c r="E148" t="s">
        <v>11</v>
      </c>
      <c r="F148">
        <v>1732.96</v>
      </c>
      <c r="G148">
        <v>841.81</v>
      </c>
    </row>
    <row r="149" spans="1:7" x14ac:dyDescent="0.25">
      <c r="A149" t="s">
        <v>22</v>
      </c>
      <c r="B149" t="s">
        <v>8</v>
      </c>
      <c r="C149" t="s">
        <v>9</v>
      </c>
      <c r="D149" t="s">
        <v>53</v>
      </c>
      <c r="E149" t="s">
        <v>27</v>
      </c>
      <c r="F149">
        <v>2353.96</v>
      </c>
      <c r="G149">
        <v>234.17</v>
      </c>
    </row>
    <row r="150" spans="1:7" x14ac:dyDescent="0.25">
      <c r="A150" t="s">
        <v>39</v>
      </c>
      <c r="B150" t="s">
        <v>18</v>
      </c>
      <c r="C150" t="s">
        <v>23</v>
      </c>
      <c r="D150" t="s">
        <v>24</v>
      </c>
      <c r="E150" t="s">
        <v>21</v>
      </c>
      <c r="F150">
        <v>8712.7999999999993</v>
      </c>
      <c r="G150">
        <v>5509.81</v>
      </c>
    </row>
    <row r="151" spans="1:7" x14ac:dyDescent="0.25">
      <c r="A151" t="s">
        <v>40</v>
      </c>
      <c r="B151" t="s">
        <v>13</v>
      </c>
      <c r="C151" t="s">
        <v>19</v>
      </c>
      <c r="D151" t="s">
        <v>52</v>
      </c>
      <c r="E151" t="s">
        <v>11</v>
      </c>
      <c r="F151">
        <v>3338.63</v>
      </c>
      <c r="G151">
        <v>907.11</v>
      </c>
    </row>
    <row r="152" spans="1:7" x14ac:dyDescent="0.25">
      <c r="A152" t="s">
        <v>25</v>
      </c>
      <c r="B152" t="s">
        <v>8</v>
      </c>
      <c r="C152" t="s">
        <v>9</v>
      </c>
      <c r="D152" t="s">
        <v>10</v>
      </c>
      <c r="E152" t="s">
        <v>33</v>
      </c>
      <c r="F152">
        <v>9974.5499999999993</v>
      </c>
      <c r="G152">
        <v>6660.93</v>
      </c>
    </row>
    <row r="153" spans="1:7" x14ac:dyDescent="0.25">
      <c r="A153" t="s">
        <v>40</v>
      </c>
      <c r="B153" t="s">
        <v>31</v>
      </c>
      <c r="C153" t="s">
        <v>19</v>
      </c>
      <c r="D153" t="s">
        <v>32</v>
      </c>
      <c r="E153" t="s">
        <v>11</v>
      </c>
      <c r="F153">
        <v>105.17</v>
      </c>
      <c r="G153">
        <v>48.49</v>
      </c>
    </row>
    <row r="154" spans="1:7" x14ac:dyDescent="0.25">
      <c r="A154" t="s">
        <v>7</v>
      </c>
      <c r="B154" t="s">
        <v>18</v>
      </c>
      <c r="C154" t="s">
        <v>34</v>
      </c>
      <c r="D154" t="s">
        <v>49</v>
      </c>
      <c r="E154" t="s">
        <v>21</v>
      </c>
      <c r="F154">
        <v>3730.68</v>
      </c>
      <c r="G154">
        <v>245.32</v>
      </c>
    </row>
    <row r="155" spans="1:7" x14ac:dyDescent="0.25">
      <c r="A155" t="s">
        <v>39</v>
      </c>
      <c r="B155" t="s">
        <v>13</v>
      </c>
      <c r="C155" t="s">
        <v>34</v>
      </c>
      <c r="D155" t="s">
        <v>56</v>
      </c>
      <c r="E155" t="s">
        <v>47</v>
      </c>
      <c r="F155">
        <v>845.25</v>
      </c>
      <c r="G155">
        <v>281.74</v>
      </c>
    </row>
    <row r="156" spans="1:7" x14ac:dyDescent="0.25">
      <c r="A156" t="s">
        <v>7</v>
      </c>
      <c r="B156" t="s">
        <v>29</v>
      </c>
      <c r="C156" t="s">
        <v>34</v>
      </c>
      <c r="D156" t="s">
        <v>49</v>
      </c>
      <c r="E156" t="s">
        <v>16</v>
      </c>
      <c r="F156">
        <v>1372.49</v>
      </c>
      <c r="G156">
        <v>683.4</v>
      </c>
    </row>
    <row r="157" spans="1:7" x14ac:dyDescent="0.25">
      <c r="A157" t="s">
        <v>22</v>
      </c>
      <c r="B157" t="s">
        <v>29</v>
      </c>
      <c r="C157" t="s">
        <v>14</v>
      </c>
      <c r="D157" t="s">
        <v>26</v>
      </c>
      <c r="E157" t="s">
        <v>16</v>
      </c>
      <c r="F157">
        <v>1529.93</v>
      </c>
      <c r="G157">
        <v>649.89</v>
      </c>
    </row>
    <row r="158" spans="1:7" x14ac:dyDescent="0.25">
      <c r="A158" t="s">
        <v>39</v>
      </c>
      <c r="B158" t="s">
        <v>8</v>
      </c>
      <c r="C158" t="s">
        <v>34</v>
      </c>
      <c r="D158" t="s">
        <v>35</v>
      </c>
      <c r="E158" t="s">
        <v>11</v>
      </c>
      <c r="F158">
        <v>5744.71</v>
      </c>
      <c r="G158">
        <v>849.52</v>
      </c>
    </row>
    <row r="159" spans="1:7" x14ac:dyDescent="0.25">
      <c r="A159" t="s">
        <v>25</v>
      </c>
      <c r="B159" t="s">
        <v>18</v>
      </c>
      <c r="C159" t="s">
        <v>19</v>
      </c>
      <c r="D159" t="s">
        <v>52</v>
      </c>
      <c r="E159" t="s">
        <v>21</v>
      </c>
      <c r="F159">
        <v>2089.1</v>
      </c>
      <c r="G159">
        <v>1146.1199999999999</v>
      </c>
    </row>
    <row r="160" spans="1:7" x14ac:dyDescent="0.25">
      <c r="A160" t="s">
        <v>51</v>
      </c>
      <c r="B160" t="s">
        <v>13</v>
      </c>
      <c r="C160" t="s">
        <v>34</v>
      </c>
      <c r="D160" t="s">
        <v>49</v>
      </c>
      <c r="E160" t="s">
        <v>47</v>
      </c>
      <c r="F160">
        <v>4865.1099999999997</v>
      </c>
      <c r="G160">
        <v>3032.02</v>
      </c>
    </row>
    <row r="161" spans="1:7" x14ac:dyDescent="0.25">
      <c r="A161" t="s">
        <v>17</v>
      </c>
      <c r="B161" t="s">
        <v>13</v>
      </c>
      <c r="C161" t="s">
        <v>19</v>
      </c>
      <c r="D161" t="s">
        <v>52</v>
      </c>
      <c r="E161" t="s">
        <v>47</v>
      </c>
      <c r="F161">
        <v>9241.23</v>
      </c>
      <c r="G161">
        <v>3388.77</v>
      </c>
    </row>
    <row r="162" spans="1:7" x14ac:dyDescent="0.25">
      <c r="A162" t="s">
        <v>37</v>
      </c>
      <c r="B162" t="s">
        <v>18</v>
      </c>
      <c r="C162" t="s">
        <v>9</v>
      </c>
      <c r="D162" t="s">
        <v>53</v>
      </c>
      <c r="E162" t="s">
        <v>11</v>
      </c>
      <c r="F162">
        <v>736.99</v>
      </c>
      <c r="G162">
        <v>342.46</v>
      </c>
    </row>
    <row r="163" spans="1:7" x14ac:dyDescent="0.25">
      <c r="A163" t="s">
        <v>25</v>
      </c>
      <c r="B163" t="s">
        <v>29</v>
      </c>
      <c r="C163" t="s">
        <v>19</v>
      </c>
      <c r="D163" t="s">
        <v>32</v>
      </c>
      <c r="E163" t="s">
        <v>21</v>
      </c>
      <c r="F163">
        <v>4381.41</v>
      </c>
      <c r="G163">
        <v>3161.78</v>
      </c>
    </row>
    <row r="164" spans="1:7" x14ac:dyDescent="0.25">
      <c r="A164" t="s">
        <v>51</v>
      </c>
      <c r="B164" t="s">
        <v>31</v>
      </c>
      <c r="C164" t="s">
        <v>23</v>
      </c>
      <c r="D164" t="s">
        <v>44</v>
      </c>
      <c r="E164" t="s">
        <v>11</v>
      </c>
      <c r="F164">
        <v>8924.4500000000007</v>
      </c>
      <c r="G164">
        <v>6743.86</v>
      </c>
    </row>
    <row r="165" spans="1:7" x14ac:dyDescent="0.25">
      <c r="A165" t="s">
        <v>39</v>
      </c>
      <c r="B165" t="s">
        <v>31</v>
      </c>
      <c r="C165" t="s">
        <v>9</v>
      </c>
      <c r="D165" t="s">
        <v>53</v>
      </c>
      <c r="E165" t="s">
        <v>21</v>
      </c>
      <c r="F165">
        <v>4647.5</v>
      </c>
      <c r="G165">
        <v>1411.03</v>
      </c>
    </row>
    <row r="166" spans="1:7" x14ac:dyDescent="0.25">
      <c r="A166" t="s">
        <v>36</v>
      </c>
      <c r="B166" t="s">
        <v>29</v>
      </c>
      <c r="C166" t="s">
        <v>19</v>
      </c>
      <c r="D166" t="s">
        <v>41</v>
      </c>
      <c r="E166" t="s">
        <v>21</v>
      </c>
      <c r="F166">
        <v>646.21</v>
      </c>
      <c r="G166">
        <v>179.19</v>
      </c>
    </row>
    <row r="167" spans="1:7" x14ac:dyDescent="0.25">
      <c r="A167" t="s">
        <v>54</v>
      </c>
      <c r="B167" t="s">
        <v>8</v>
      </c>
      <c r="C167" t="s">
        <v>19</v>
      </c>
      <c r="D167" t="s">
        <v>41</v>
      </c>
      <c r="E167" t="s">
        <v>33</v>
      </c>
      <c r="F167">
        <v>7231.93</v>
      </c>
      <c r="G167">
        <v>5585.13</v>
      </c>
    </row>
    <row r="168" spans="1:7" x14ac:dyDescent="0.25">
      <c r="A168" t="s">
        <v>7</v>
      </c>
      <c r="B168" t="s">
        <v>31</v>
      </c>
      <c r="C168" t="s">
        <v>19</v>
      </c>
      <c r="D168" t="s">
        <v>20</v>
      </c>
      <c r="E168" t="s">
        <v>11</v>
      </c>
      <c r="F168">
        <v>5540.59</v>
      </c>
      <c r="G168">
        <v>3996.05</v>
      </c>
    </row>
    <row r="169" spans="1:7" x14ac:dyDescent="0.25">
      <c r="A169" t="s">
        <v>25</v>
      </c>
      <c r="B169" t="s">
        <v>8</v>
      </c>
      <c r="C169" t="s">
        <v>9</v>
      </c>
      <c r="D169" t="s">
        <v>50</v>
      </c>
      <c r="E169" t="s">
        <v>47</v>
      </c>
      <c r="F169">
        <v>9072.49</v>
      </c>
      <c r="G169">
        <v>301.48</v>
      </c>
    </row>
    <row r="170" spans="1:7" x14ac:dyDescent="0.25">
      <c r="A170" t="s">
        <v>51</v>
      </c>
      <c r="B170" t="s">
        <v>13</v>
      </c>
      <c r="C170" t="s">
        <v>23</v>
      </c>
      <c r="D170" t="s">
        <v>44</v>
      </c>
      <c r="E170" t="s">
        <v>21</v>
      </c>
      <c r="F170">
        <v>4720.6000000000004</v>
      </c>
      <c r="G170">
        <v>3435.36</v>
      </c>
    </row>
    <row r="171" spans="1:7" x14ac:dyDescent="0.25">
      <c r="A171" t="s">
        <v>40</v>
      </c>
      <c r="B171" t="s">
        <v>31</v>
      </c>
      <c r="C171" t="s">
        <v>9</v>
      </c>
      <c r="D171" t="s">
        <v>46</v>
      </c>
      <c r="E171" t="s">
        <v>11</v>
      </c>
      <c r="F171">
        <v>1649.91</v>
      </c>
      <c r="G171">
        <v>483.23</v>
      </c>
    </row>
    <row r="172" spans="1:7" x14ac:dyDescent="0.25">
      <c r="A172" t="s">
        <v>37</v>
      </c>
      <c r="B172" t="s">
        <v>29</v>
      </c>
      <c r="C172" t="s">
        <v>19</v>
      </c>
      <c r="D172" t="s">
        <v>41</v>
      </c>
      <c r="E172" t="s">
        <v>27</v>
      </c>
      <c r="F172">
        <v>4336.97</v>
      </c>
      <c r="G172">
        <v>2669.37</v>
      </c>
    </row>
    <row r="173" spans="1:7" x14ac:dyDescent="0.25">
      <c r="A173" t="s">
        <v>12</v>
      </c>
      <c r="B173" t="s">
        <v>29</v>
      </c>
      <c r="C173" t="s">
        <v>34</v>
      </c>
      <c r="D173" t="s">
        <v>35</v>
      </c>
      <c r="E173" t="s">
        <v>11</v>
      </c>
      <c r="F173">
        <v>3670.36</v>
      </c>
      <c r="G173">
        <v>2315.29</v>
      </c>
    </row>
    <row r="174" spans="1:7" x14ac:dyDescent="0.25">
      <c r="A174" t="s">
        <v>17</v>
      </c>
      <c r="B174" t="s">
        <v>38</v>
      </c>
      <c r="C174" t="s">
        <v>14</v>
      </c>
      <c r="D174" t="s">
        <v>15</v>
      </c>
      <c r="E174" t="s">
        <v>21</v>
      </c>
      <c r="F174">
        <v>3571.26</v>
      </c>
      <c r="G174">
        <v>933.79</v>
      </c>
    </row>
    <row r="175" spans="1:7" x14ac:dyDescent="0.25">
      <c r="A175" t="s">
        <v>17</v>
      </c>
      <c r="B175" t="s">
        <v>48</v>
      </c>
      <c r="C175" t="s">
        <v>19</v>
      </c>
      <c r="D175" t="s">
        <v>20</v>
      </c>
      <c r="E175" t="s">
        <v>47</v>
      </c>
      <c r="F175">
        <v>5174.9799999999996</v>
      </c>
      <c r="G175">
        <v>3905.3</v>
      </c>
    </row>
    <row r="176" spans="1:7" x14ac:dyDescent="0.25">
      <c r="A176" t="s">
        <v>37</v>
      </c>
      <c r="B176" t="s">
        <v>48</v>
      </c>
      <c r="C176" t="s">
        <v>14</v>
      </c>
      <c r="D176" t="s">
        <v>15</v>
      </c>
      <c r="E176" t="s">
        <v>27</v>
      </c>
      <c r="F176">
        <v>9598.06</v>
      </c>
      <c r="G176">
        <v>6029.98</v>
      </c>
    </row>
    <row r="177" spans="1:7" x14ac:dyDescent="0.25">
      <c r="A177" t="s">
        <v>39</v>
      </c>
      <c r="B177" t="s">
        <v>18</v>
      </c>
      <c r="C177" t="s">
        <v>9</v>
      </c>
      <c r="D177" t="s">
        <v>53</v>
      </c>
      <c r="E177" t="s">
        <v>27</v>
      </c>
      <c r="F177">
        <v>8465.58</v>
      </c>
      <c r="G177">
        <v>5340.76</v>
      </c>
    </row>
    <row r="178" spans="1:7" x14ac:dyDescent="0.25">
      <c r="A178" t="s">
        <v>25</v>
      </c>
      <c r="B178" t="s">
        <v>18</v>
      </c>
      <c r="C178" t="s">
        <v>23</v>
      </c>
      <c r="D178" t="s">
        <v>44</v>
      </c>
      <c r="E178" t="s">
        <v>11</v>
      </c>
      <c r="F178">
        <v>4287.16</v>
      </c>
      <c r="G178">
        <v>3680.53</v>
      </c>
    </row>
    <row r="179" spans="1:7" x14ac:dyDescent="0.25">
      <c r="A179" t="s">
        <v>12</v>
      </c>
      <c r="B179" t="s">
        <v>29</v>
      </c>
      <c r="C179" t="s">
        <v>34</v>
      </c>
      <c r="D179" t="s">
        <v>43</v>
      </c>
      <c r="E179" t="s">
        <v>27</v>
      </c>
      <c r="F179">
        <v>6911.46</v>
      </c>
      <c r="G179">
        <v>5784.12</v>
      </c>
    </row>
    <row r="180" spans="1:7" x14ac:dyDescent="0.25">
      <c r="A180" t="s">
        <v>36</v>
      </c>
      <c r="B180" t="s">
        <v>31</v>
      </c>
      <c r="C180" t="s">
        <v>9</v>
      </c>
      <c r="D180" t="s">
        <v>50</v>
      </c>
      <c r="E180" t="s">
        <v>21</v>
      </c>
      <c r="F180">
        <v>9380.16</v>
      </c>
      <c r="G180">
        <v>6707.4</v>
      </c>
    </row>
    <row r="181" spans="1:7" x14ac:dyDescent="0.25">
      <c r="A181" t="s">
        <v>40</v>
      </c>
      <c r="B181" t="s">
        <v>38</v>
      </c>
      <c r="C181" t="s">
        <v>23</v>
      </c>
      <c r="D181" t="s">
        <v>55</v>
      </c>
      <c r="E181" t="s">
        <v>11</v>
      </c>
      <c r="F181">
        <v>4770.8599999999997</v>
      </c>
      <c r="G181">
        <v>522.48</v>
      </c>
    </row>
    <row r="182" spans="1:7" x14ac:dyDescent="0.25">
      <c r="A182" t="s">
        <v>17</v>
      </c>
      <c r="B182" t="s">
        <v>38</v>
      </c>
      <c r="C182" t="s">
        <v>9</v>
      </c>
      <c r="D182" t="s">
        <v>46</v>
      </c>
      <c r="E182" t="s">
        <v>11</v>
      </c>
      <c r="F182">
        <v>7013.11</v>
      </c>
      <c r="G182">
        <v>4490.7299999999996</v>
      </c>
    </row>
    <row r="183" spans="1:7" x14ac:dyDescent="0.25">
      <c r="A183" t="s">
        <v>36</v>
      </c>
      <c r="B183" t="s">
        <v>18</v>
      </c>
      <c r="C183" t="s">
        <v>19</v>
      </c>
      <c r="D183" t="s">
        <v>41</v>
      </c>
      <c r="E183" t="s">
        <v>16</v>
      </c>
      <c r="F183">
        <v>7246.39</v>
      </c>
      <c r="G183">
        <v>2766.01</v>
      </c>
    </row>
    <row r="184" spans="1:7" x14ac:dyDescent="0.25">
      <c r="A184" t="s">
        <v>17</v>
      </c>
      <c r="B184" t="s">
        <v>13</v>
      </c>
      <c r="C184" t="s">
        <v>9</v>
      </c>
      <c r="D184" t="s">
        <v>50</v>
      </c>
      <c r="E184" t="s">
        <v>11</v>
      </c>
      <c r="F184">
        <v>7510.31</v>
      </c>
      <c r="G184">
        <v>2202.1</v>
      </c>
    </row>
    <row r="185" spans="1:7" x14ac:dyDescent="0.25">
      <c r="A185" t="s">
        <v>36</v>
      </c>
      <c r="B185" t="s">
        <v>29</v>
      </c>
      <c r="C185" t="s">
        <v>19</v>
      </c>
      <c r="D185" t="s">
        <v>41</v>
      </c>
      <c r="E185" t="s">
        <v>33</v>
      </c>
      <c r="F185">
        <v>7907.65</v>
      </c>
      <c r="G185">
        <v>1177.95</v>
      </c>
    </row>
    <row r="186" spans="1:7" x14ac:dyDescent="0.25">
      <c r="A186" t="s">
        <v>7</v>
      </c>
      <c r="B186" t="s">
        <v>31</v>
      </c>
      <c r="C186" t="s">
        <v>14</v>
      </c>
      <c r="D186" t="s">
        <v>45</v>
      </c>
      <c r="E186" t="s">
        <v>27</v>
      </c>
      <c r="F186">
        <v>610.66999999999996</v>
      </c>
      <c r="G186">
        <v>186.29</v>
      </c>
    </row>
    <row r="187" spans="1:7" x14ac:dyDescent="0.25">
      <c r="A187" t="s">
        <v>40</v>
      </c>
      <c r="B187" t="s">
        <v>48</v>
      </c>
      <c r="C187" t="s">
        <v>14</v>
      </c>
      <c r="D187" t="s">
        <v>15</v>
      </c>
      <c r="E187" t="s">
        <v>21</v>
      </c>
      <c r="F187">
        <v>6755.38</v>
      </c>
      <c r="G187">
        <v>5469.79</v>
      </c>
    </row>
    <row r="188" spans="1:7" x14ac:dyDescent="0.25">
      <c r="A188" t="s">
        <v>39</v>
      </c>
      <c r="B188" t="s">
        <v>31</v>
      </c>
      <c r="C188" t="s">
        <v>9</v>
      </c>
      <c r="D188" t="s">
        <v>46</v>
      </c>
      <c r="E188" t="s">
        <v>16</v>
      </c>
      <c r="F188">
        <v>6786.68</v>
      </c>
      <c r="G188">
        <v>3240.54</v>
      </c>
    </row>
    <row r="189" spans="1:7" x14ac:dyDescent="0.25">
      <c r="A189" t="s">
        <v>51</v>
      </c>
      <c r="B189" t="s">
        <v>13</v>
      </c>
      <c r="C189" t="s">
        <v>9</v>
      </c>
      <c r="D189" t="s">
        <v>50</v>
      </c>
      <c r="E189" t="s">
        <v>21</v>
      </c>
      <c r="F189">
        <v>2233.15</v>
      </c>
      <c r="G189">
        <v>569.79</v>
      </c>
    </row>
    <row r="190" spans="1:7" x14ac:dyDescent="0.25">
      <c r="A190" t="s">
        <v>39</v>
      </c>
      <c r="B190" t="s">
        <v>29</v>
      </c>
      <c r="C190" t="s">
        <v>19</v>
      </c>
      <c r="D190" t="s">
        <v>41</v>
      </c>
      <c r="E190" t="s">
        <v>47</v>
      </c>
      <c r="F190">
        <v>1024.99</v>
      </c>
      <c r="G190">
        <v>20.11</v>
      </c>
    </row>
    <row r="191" spans="1:7" x14ac:dyDescent="0.25">
      <c r="A191" t="s">
        <v>36</v>
      </c>
      <c r="B191" t="s">
        <v>29</v>
      </c>
      <c r="C191" t="s">
        <v>9</v>
      </c>
      <c r="D191" t="s">
        <v>50</v>
      </c>
      <c r="E191" t="s">
        <v>33</v>
      </c>
      <c r="F191">
        <v>2166.4299999999998</v>
      </c>
      <c r="G191">
        <v>1904.84</v>
      </c>
    </row>
    <row r="192" spans="1:7" x14ac:dyDescent="0.25">
      <c r="A192" t="s">
        <v>28</v>
      </c>
      <c r="B192" t="s">
        <v>8</v>
      </c>
      <c r="C192" t="s">
        <v>23</v>
      </c>
      <c r="D192" t="s">
        <v>44</v>
      </c>
      <c r="E192" t="s">
        <v>47</v>
      </c>
      <c r="F192">
        <v>1818.76</v>
      </c>
      <c r="G192">
        <v>126.42</v>
      </c>
    </row>
    <row r="193" spans="1:7" x14ac:dyDescent="0.25">
      <c r="A193" t="s">
        <v>17</v>
      </c>
      <c r="B193" t="s">
        <v>31</v>
      </c>
      <c r="C193" t="s">
        <v>14</v>
      </c>
      <c r="D193" t="s">
        <v>26</v>
      </c>
      <c r="E193" t="s">
        <v>11</v>
      </c>
      <c r="F193">
        <v>7708.19</v>
      </c>
      <c r="G193">
        <v>1414.19</v>
      </c>
    </row>
    <row r="194" spans="1:7" x14ac:dyDescent="0.25">
      <c r="A194" t="s">
        <v>40</v>
      </c>
      <c r="B194" t="s">
        <v>31</v>
      </c>
      <c r="C194" t="s">
        <v>14</v>
      </c>
      <c r="D194" t="s">
        <v>45</v>
      </c>
      <c r="E194" t="s">
        <v>11</v>
      </c>
      <c r="F194">
        <v>8718.89</v>
      </c>
      <c r="G194">
        <v>6639.62</v>
      </c>
    </row>
    <row r="195" spans="1:7" x14ac:dyDescent="0.25">
      <c r="A195" t="s">
        <v>51</v>
      </c>
      <c r="B195" t="s">
        <v>18</v>
      </c>
      <c r="C195" t="s">
        <v>19</v>
      </c>
      <c r="D195" t="s">
        <v>32</v>
      </c>
      <c r="E195" t="s">
        <v>27</v>
      </c>
      <c r="F195">
        <v>9863.86</v>
      </c>
      <c r="G195">
        <v>1565.12</v>
      </c>
    </row>
    <row r="196" spans="1:7" x14ac:dyDescent="0.25">
      <c r="A196" t="s">
        <v>22</v>
      </c>
      <c r="B196" t="s">
        <v>48</v>
      </c>
      <c r="C196" t="s">
        <v>34</v>
      </c>
      <c r="D196" t="s">
        <v>49</v>
      </c>
      <c r="E196" t="s">
        <v>11</v>
      </c>
      <c r="F196">
        <v>3070.52</v>
      </c>
      <c r="G196">
        <v>1223.1500000000001</v>
      </c>
    </row>
    <row r="197" spans="1:7" x14ac:dyDescent="0.25">
      <c r="A197" t="s">
        <v>39</v>
      </c>
      <c r="B197" t="s">
        <v>31</v>
      </c>
      <c r="C197" t="s">
        <v>14</v>
      </c>
      <c r="D197" t="s">
        <v>26</v>
      </c>
      <c r="E197" t="s">
        <v>21</v>
      </c>
      <c r="F197">
        <v>7043.56</v>
      </c>
      <c r="G197">
        <v>2548.19</v>
      </c>
    </row>
    <row r="198" spans="1:7" x14ac:dyDescent="0.25">
      <c r="A198" t="s">
        <v>28</v>
      </c>
      <c r="B198" t="s">
        <v>38</v>
      </c>
      <c r="C198" t="s">
        <v>9</v>
      </c>
      <c r="D198" t="s">
        <v>46</v>
      </c>
      <c r="E198" t="s">
        <v>33</v>
      </c>
      <c r="F198">
        <v>5302.99</v>
      </c>
      <c r="G198">
        <v>3041.41</v>
      </c>
    </row>
    <row r="199" spans="1:7" x14ac:dyDescent="0.25">
      <c r="A199" t="s">
        <v>22</v>
      </c>
      <c r="B199" t="s">
        <v>29</v>
      </c>
      <c r="C199" t="s">
        <v>14</v>
      </c>
      <c r="D199" t="s">
        <v>26</v>
      </c>
      <c r="E199" t="s">
        <v>47</v>
      </c>
      <c r="F199">
        <v>1814.66</v>
      </c>
      <c r="G199">
        <v>1511.98</v>
      </c>
    </row>
    <row r="200" spans="1:7" x14ac:dyDescent="0.25">
      <c r="A200" t="s">
        <v>51</v>
      </c>
      <c r="B200" t="s">
        <v>29</v>
      </c>
      <c r="C200" t="s">
        <v>23</v>
      </c>
      <c r="D200" t="s">
        <v>44</v>
      </c>
      <c r="E200" t="s">
        <v>33</v>
      </c>
      <c r="F200">
        <v>4748.08</v>
      </c>
      <c r="G200">
        <v>1393.16</v>
      </c>
    </row>
    <row r="201" spans="1:7" x14ac:dyDescent="0.25">
      <c r="A201" t="s">
        <v>25</v>
      </c>
      <c r="B201" t="s">
        <v>8</v>
      </c>
      <c r="C201" t="s">
        <v>23</v>
      </c>
      <c r="D201" t="s">
        <v>24</v>
      </c>
      <c r="E201" t="s">
        <v>33</v>
      </c>
      <c r="F201">
        <v>8692.98</v>
      </c>
      <c r="G201">
        <v>978.72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Analysis</vt:lpstr>
      <vt:lpstr>DATA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muskan</dc:creator>
  <cp:lastModifiedBy>muskan</cp:lastModifiedBy>
  <dcterms:created xsi:type="dcterms:W3CDTF">2015-06-05T18:19:34Z</dcterms:created>
  <dcterms:modified xsi:type="dcterms:W3CDTF">2025-08-01T12:28:15Z</dcterms:modified>
</cp:coreProperties>
</file>